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vila\Desktop\Poker MC\"/>
    </mc:Choice>
  </mc:AlternateContent>
  <xr:revisionPtr revIDLastSave="0" documentId="13_ncr:1_{9435A3B6-2E5D-4C28-ADA8-E82E71853587}" xr6:coauthVersionLast="45" xr6:coauthVersionMax="45" xr10:uidLastSave="{00000000-0000-0000-0000-000000000000}"/>
  <bookViews>
    <workbookView xWindow="28680" yWindow="-120" windowWidth="29040" windowHeight="15990" tabRatio="545" xr2:uid="{DFA4F93C-4895-9144-B984-F09AAEAFF0BA}"/>
  </bookViews>
  <sheets>
    <sheet name="Table" sheetId="3" r:id="rId1"/>
    <sheet name="Aux" sheetId="4" r:id="rId2"/>
    <sheet name="StartingHands" sheetId="8" r:id="rId3"/>
    <sheet name="ToDo" sheetId="9" r:id="rId4"/>
  </sheets>
  <functionGroups builtInGroupCount="19"/>
  <definedNames>
    <definedName name="CurrentlyEditing">Aux!$A$2</definedName>
    <definedName name="handIDs">Aux!$A$6:$B$6</definedName>
    <definedName name="LastEditedMyCards">Aux!$C$2</definedName>
    <definedName name="LastEditedPot">Aux!$C$3</definedName>
    <definedName name="MyCards">Table!$C$5:$D$5</definedName>
    <definedName name="NumberOfPlayers">Table!$C$3</definedName>
    <definedName name="NumberOfSimulations">Table!$K$5</definedName>
    <definedName name="Pot">Table!$C$7:$G$7</definedName>
    <definedName name="potIDs">Aux!$A$7:$E$7</definedName>
    <definedName name="starting2players">StartingHands!$Q$3:$AC$15</definedName>
    <definedName name="starting3players">StartingHands!$AF$3:$AR$15</definedName>
    <definedName name="starting4players">StartingHands!$B$19:$N$31</definedName>
    <definedName name="starting5players">StartingHands!$Q$19:$AC$31</definedName>
    <definedName name="starting6players">StartingHands!$AF$19:$AR$31</definedName>
    <definedName name="starting7players">StartingHands!$B$35:$N$47</definedName>
    <definedName name="starting8players">StartingHands!$Q$35:$AC$47</definedName>
    <definedName name="starting9players">StartingHands!$AF$35:$AR$47</definedName>
    <definedName name="StartingHands">StartingHands!$AX$3:$BF$171</definedName>
    <definedName name="WinLoseTie">Table!$K$7:$M$7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7" i="4" l="1"/>
  <c r="B36" i="4"/>
  <c r="B38" i="4" s="1"/>
  <c r="B39" i="4" l="1"/>
  <c r="B40" i="4" s="1"/>
  <c r="B43" i="4"/>
  <c r="B46" i="4"/>
  <c r="B49" i="4"/>
  <c r="B44" i="4"/>
  <c r="B45" i="4"/>
  <c r="B48" i="4"/>
  <c r="B50" i="4"/>
  <c r="B47" i="4"/>
  <c r="A3" i="4"/>
  <c r="K23" i="4"/>
  <c r="K22" i="4"/>
  <c r="K21" i="4"/>
  <c r="K20" i="4"/>
  <c r="K19" i="4"/>
  <c r="K18" i="4"/>
  <c r="K17" i="4"/>
  <c r="K16" i="4"/>
  <c r="B42" i="4" l="1"/>
  <c r="B41" i="4"/>
  <c r="AX171" i="8"/>
  <c r="AX170" i="8"/>
  <c r="AX169" i="8"/>
  <c r="AX168" i="8"/>
  <c r="AX167" i="8"/>
  <c r="AX166" i="8"/>
  <c r="AX165" i="8"/>
  <c r="AX164" i="8"/>
  <c r="AX163" i="8"/>
  <c r="AX162" i="8"/>
  <c r="AX161" i="8"/>
  <c r="AX160" i="8"/>
  <c r="AX159" i="8"/>
  <c r="AX158" i="8"/>
  <c r="AX157" i="8"/>
  <c r="AX156" i="8"/>
  <c r="AX155" i="8"/>
  <c r="AX154" i="8"/>
  <c r="AX153" i="8"/>
  <c r="AX152" i="8"/>
  <c r="AX151" i="8"/>
  <c r="AX150" i="8"/>
  <c r="AX149" i="8"/>
  <c r="AX148" i="8"/>
  <c r="AX147" i="8"/>
  <c r="AX146" i="8"/>
  <c r="AX145" i="8"/>
  <c r="AX144" i="8"/>
  <c r="AX143" i="8"/>
  <c r="AX142" i="8"/>
  <c r="AX141" i="8"/>
  <c r="AX140" i="8"/>
  <c r="AX139" i="8"/>
  <c r="AX138" i="8"/>
  <c r="AX137" i="8"/>
  <c r="AX136" i="8"/>
  <c r="AX135" i="8"/>
  <c r="AX134" i="8"/>
  <c r="AX133" i="8"/>
  <c r="AX132" i="8"/>
  <c r="AX131" i="8"/>
  <c r="AX130" i="8"/>
  <c r="AX129" i="8"/>
  <c r="AX128" i="8"/>
  <c r="AX127" i="8"/>
  <c r="AX126" i="8"/>
  <c r="AX125" i="8"/>
  <c r="AX124" i="8"/>
  <c r="AX123" i="8"/>
  <c r="AX122" i="8"/>
  <c r="AX121" i="8"/>
  <c r="AX120" i="8"/>
  <c r="AX119" i="8"/>
  <c r="AX118" i="8"/>
  <c r="AX117" i="8"/>
  <c r="AX116" i="8"/>
  <c r="AX115" i="8"/>
  <c r="AX114" i="8"/>
  <c r="AX113" i="8"/>
  <c r="AX112" i="8"/>
  <c r="AX111" i="8"/>
  <c r="AX110" i="8"/>
  <c r="AX109" i="8"/>
  <c r="AX108" i="8"/>
  <c r="AX107" i="8"/>
  <c r="AX106" i="8"/>
  <c r="AX105" i="8"/>
  <c r="AX104" i="8"/>
  <c r="AX103" i="8"/>
  <c r="AX102" i="8"/>
  <c r="AX101" i="8"/>
  <c r="AX100" i="8"/>
  <c r="AX99" i="8"/>
  <c r="AX98" i="8"/>
  <c r="AX97" i="8"/>
  <c r="AX96" i="8"/>
  <c r="AX95" i="8"/>
  <c r="AX94" i="8"/>
  <c r="AX93" i="8"/>
  <c r="AX92" i="8"/>
  <c r="AX91" i="8"/>
  <c r="AX90" i="8"/>
  <c r="AX89" i="8"/>
  <c r="AX88" i="8"/>
  <c r="AX87" i="8"/>
  <c r="AX86" i="8"/>
  <c r="AX85" i="8"/>
  <c r="AX84" i="8"/>
  <c r="AX83" i="8"/>
  <c r="AX82" i="8"/>
  <c r="AX81" i="8"/>
  <c r="AX80" i="8"/>
  <c r="AX79" i="8"/>
  <c r="AX78" i="8"/>
  <c r="AX77" i="8"/>
  <c r="AX76" i="8"/>
  <c r="AX75" i="8"/>
  <c r="AX74" i="8"/>
  <c r="AX73" i="8"/>
  <c r="AX72" i="8"/>
  <c r="AX71" i="8"/>
  <c r="AX70" i="8"/>
  <c r="AX69" i="8"/>
  <c r="AX68" i="8"/>
  <c r="AX67" i="8"/>
  <c r="AX66" i="8"/>
  <c r="AX65" i="8"/>
  <c r="AX64" i="8"/>
  <c r="AX63" i="8"/>
  <c r="AX62" i="8"/>
  <c r="AX61" i="8"/>
  <c r="AX60" i="8"/>
  <c r="AX59" i="8"/>
  <c r="AX58" i="8"/>
  <c r="AX57" i="8"/>
  <c r="AX56" i="8"/>
  <c r="AX55" i="8"/>
  <c r="AX54" i="8"/>
  <c r="AX53" i="8"/>
  <c r="AX52" i="8"/>
  <c r="AX51" i="8"/>
  <c r="AX50" i="8"/>
  <c r="AX49" i="8"/>
  <c r="AX48" i="8"/>
  <c r="AX47" i="8"/>
  <c r="AX46" i="8"/>
  <c r="AX45" i="8"/>
  <c r="AX44" i="8"/>
  <c r="AX43" i="8"/>
  <c r="AX42" i="8"/>
  <c r="AX41" i="8"/>
  <c r="AX40" i="8"/>
  <c r="AX39" i="8"/>
  <c r="AX38" i="8"/>
  <c r="AX37" i="8"/>
  <c r="AX36" i="8"/>
  <c r="AX35" i="8"/>
  <c r="AX34" i="8"/>
  <c r="AX33" i="8"/>
  <c r="AX32" i="8"/>
  <c r="AX31" i="8"/>
  <c r="AX30" i="8"/>
  <c r="AX29" i="8"/>
  <c r="AX28" i="8"/>
  <c r="AX27" i="8"/>
  <c r="AX26" i="8"/>
  <c r="AX25" i="8"/>
  <c r="AX24" i="8"/>
  <c r="AX23" i="8"/>
  <c r="AX22" i="8"/>
  <c r="AX21" i="8"/>
  <c r="AX20" i="8"/>
  <c r="AX19" i="8"/>
  <c r="AX18" i="8"/>
  <c r="AX17" i="8"/>
  <c r="AX16" i="8"/>
  <c r="AX15" i="8"/>
  <c r="AX14" i="8"/>
  <c r="AX13" i="8"/>
  <c r="AX12" i="8"/>
  <c r="AX11" i="8"/>
  <c r="AX10" i="8"/>
  <c r="AX9" i="8"/>
  <c r="AX8" i="8"/>
  <c r="AX7" i="8"/>
  <c r="AX6" i="8"/>
  <c r="AX5" i="8"/>
  <c r="AX3" i="8"/>
  <c r="AX4" i="8"/>
  <c r="AW171" i="8" a="1"/>
  <c r="AW171" i="8" s="1"/>
  <c r="AW170" i="8" a="1"/>
  <c r="AW170" i="8" s="1"/>
  <c r="AW169" i="8"/>
  <c r="AW169" i="8" a="1"/>
  <c r="AW168" i="8"/>
  <c r="AW168" i="8" a="1"/>
  <c r="AW167" i="8" a="1"/>
  <c r="AW167" i="8" s="1"/>
  <c r="AW166" i="8"/>
  <c r="AW166" i="8" a="1"/>
  <c r="AW165" i="8" a="1"/>
  <c r="AW165" i="8" s="1"/>
  <c r="AW164" i="8" a="1"/>
  <c r="AW164" i="8" s="1"/>
  <c r="AW163" i="8"/>
  <c r="AW163" i="8" a="1"/>
  <c r="AW162" i="8"/>
  <c r="AW162" i="8" a="1"/>
  <c r="AW161" i="8" a="1"/>
  <c r="AW161" i="8" s="1"/>
  <c r="AW160" i="8"/>
  <c r="AW160" i="8" a="1"/>
  <c r="AW159" i="8" a="1"/>
  <c r="AW159" i="8" s="1"/>
  <c r="AW158" i="8" a="1"/>
  <c r="AW158" i="8" s="1"/>
  <c r="AW157" i="8"/>
  <c r="AW157" i="8" a="1"/>
  <c r="AW156" i="8" a="1"/>
  <c r="AW156" i="8" s="1"/>
  <c r="AW155" i="8" a="1"/>
  <c r="AW155" i="8" s="1"/>
  <c r="AW154" i="8"/>
  <c r="AW154" i="8" a="1"/>
  <c r="AW153" i="8" a="1"/>
  <c r="AW153" i="8" s="1"/>
  <c r="AW152" i="8" a="1"/>
  <c r="AW152" i="8" s="1"/>
  <c r="AW151" i="8"/>
  <c r="AW151" i="8" a="1"/>
  <c r="AW150" i="8" a="1"/>
  <c r="AW150" i="8" s="1"/>
  <c r="AW149" i="8" a="1"/>
  <c r="AW149" i="8" s="1"/>
  <c r="AW148" i="8"/>
  <c r="AW148" i="8" a="1"/>
  <c r="AW147" i="8" a="1"/>
  <c r="AW147" i="8" s="1"/>
  <c r="AW146" i="8" a="1"/>
  <c r="AW146" i="8" s="1"/>
  <c r="AW145" i="8"/>
  <c r="AW145" i="8" a="1"/>
  <c r="AW144" i="8" a="1"/>
  <c r="AW144" i="8" s="1"/>
  <c r="AW143" i="8" a="1"/>
  <c r="AW143" i="8" s="1"/>
  <c r="AW142" i="8"/>
  <c r="AW142" i="8" a="1"/>
  <c r="AW141" i="8" a="1"/>
  <c r="AW141" i="8" s="1"/>
  <c r="AW140" i="8" a="1"/>
  <c r="AW140" i="8" s="1"/>
  <c r="AW139" i="8"/>
  <c r="AW139" i="8" a="1"/>
  <c r="AW138" i="8" a="1"/>
  <c r="AW138" i="8" s="1"/>
  <c r="AW137" i="8" a="1"/>
  <c r="AW137" i="8" s="1"/>
  <c r="AW136" i="8"/>
  <c r="AW136" i="8" a="1"/>
  <c r="AW135" i="8" a="1"/>
  <c r="AW135" i="8" s="1"/>
  <c r="AW134" i="8" a="1"/>
  <c r="AW134" i="8" s="1"/>
  <c r="AW133" i="8"/>
  <c r="AW133" i="8" a="1"/>
  <c r="AW132" i="8" a="1"/>
  <c r="AW132" i="8" s="1"/>
  <c r="AW131" i="8" a="1"/>
  <c r="AW131" i="8" s="1"/>
  <c r="AW130" i="8"/>
  <c r="AW130" i="8" a="1"/>
  <c r="AW129" i="8" a="1"/>
  <c r="AW129" i="8" s="1"/>
  <c r="AW128" i="8" a="1"/>
  <c r="AW128" i="8" s="1"/>
  <c r="AW127" i="8"/>
  <c r="AW127" i="8" a="1"/>
  <c r="AW126" i="8" a="1"/>
  <c r="AW126" i="8" s="1"/>
  <c r="AW125" i="8" a="1"/>
  <c r="AW125" i="8" s="1"/>
  <c r="AW124" i="8"/>
  <c r="AW124" i="8" a="1"/>
  <c r="AW123" i="8" a="1"/>
  <c r="AW123" i="8" s="1"/>
  <c r="AW122" i="8" a="1"/>
  <c r="AW122" i="8" s="1"/>
  <c r="AW121" i="8"/>
  <c r="AW121" i="8" a="1"/>
  <c r="AW120" i="8" a="1"/>
  <c r="AW120" i="8" s="1"/>
  <c r="AW119" i="8" a="1"/>
  <c r="AW119" i="8" s="1"/>
  <c r="AW118" i="8"/>
  <c r="AW118" i="8" a="1"/>
  <c r="AW117" i="8" a="1"/>
  <c r="AW117" i="8" s="1"/>
  <c r="AW116" i="8" a="1"/>
  <c r="AW116" i="8" s="1"/>
  <c r="AW115" i="8"/>
  <c r="AW115" i="8" a="1"/>
  <c r="AW114" i="8" a="1"/>
  <c r="AW114" i="8" s="1"/>
  <c r="AW113" i="8" a="1"/>
  <c r="AW113" i="8" s="1"/>
  <c r="AW112" i="8"/>
  <c r="AW112" i="8" a="1"/>
  <c r="AW111" i="8" a="1"/>
  <c r="AW111" i="8" s="1"/>
  <c r="AW110" i="8" a="1"/>
  <c r="AW110" i="8" s="1"/>
  <c r="AW109" i="8" a="1"/>
  <c r="AW109" i="8" s="1"/>
  <c r="AW108" i="8" a="1"/>
  <c r="AW108" i="8" s="1"/>
  <c r="AW107" i="8" a="1"/>
  <c r="AW107" i="8" s="1"/>
  <c r="AW106" i="8"/>
  <c r="AW106" i="8" a="1"/>
  <c r="AW105" i="8" a="1"/>
  <c r="AW105" i="8" s="1"/>
  <c r="AW104" i="8" a="1"/>
  <c r="AW104" i="8" s="1"/>
  <c r="AW103" i="8" a="1"/>
  <c r="AW103" i="8" s="1"/>
  <c r="AW102" i="8" a="1"/>
  <c r="AW102" i="8" s="1"/>
  <c r="AW101" i="8" a="1"/>
  <c r="AW101" i="8" s="1"/>
  <c r="AW100" i="8"/>
  <c r="AW100" i="8" a="1"/>
  <c r="AW99" i="8" a="1"/>
  <c r="AW99" i="8" s="1"/>
  <c r="AW98" i="8" a="1"/>
  <c r="AW98" i="8" s="1"/>
  <c r="AW97" i="8" a="1"/>
  <c r="AW97" i="8" s="1"/>
  <c r="AW96" i="8" a="1"/>
  <c r="AW96" i="8" s="1"/>
  <c r="AW95" i="8" a="1"/>
  <c r="AW95" i="8" s="1"/>
  <c r="AW94" i="8"/>
  <c r="AW94" i="8" a="1"/>
  <c r="AW93" i="8" a="1"/>
  <c r="AW93" i="8" s="1"/>
  <c r="AW92" i="8" a="1"/>
  <c r="AW92" i="8" s="1"/>
  <c r="AW91" i="8" a="1"/>
  <c r="AW91" i="8" s="1"/>
  <c r="AW90" i="8" a="1"/>
  <c r="AW90" i="8" s="1"/>
  <c r="AW89" i="8" a="1"/>
  <c r="AW89" i="8" s="1"/>
  <c r="AW88" i="8"/>
  <c r="AW88" i="8" a="1"/>
  <c r="AW87" i="8" a="1"/>
  <c r="AW87" i="8" s="1"/>
  <c r="AW86" i="8" a="1"/>
  <c r="AW86" i="8" s="1"/>
  <c r="AW85" i="8" a="1"/>
  <c r="AW85" i="8" s="1"/>
  <c r="AW84" i="8" a="1"/>
  <c r="AW84" i="8" s="1"/>
  <c r="AW83" i="8" a="1"/>
  <c r="AW83" i="8" s="1"/>
  <c r="AW82" i="8"/>
  <c r="AW82" i="8" a="1"/>
  <c r="AW81" i="8" a="1"/>
  <c r="AW81" i="8" s="1"/>
  <c r="AW80" i="8" a="1"/>
  <c r="AW80" i="8" s="1"/>
  <c r="AW79" i="8" a="1"/>
  <c r="AW79" i="8" s="1"/>
  <c r="AW78" i="8" a="1"/>
  <c r="AW78" i="8" s="1"/>
  <c r="AW77" i="8" a="1"/>
  <c r="AW77" i="8" s="1"/>
  <c r="AW76" i="8"/>
  <c r="AW76" i="8" a="1"/>
  <c r="AW75" i="8" a="1"/>
  <c r="AW75" i="8" s="1"/>
  <c r="AW74" i="8" a="1"/>
  <c r="AW74" i="8" s="1"/>
  <c r="AW73" i="8" a="1"/>
  <c r="AW73" i="8" s="1"/>
  <c r="AW72" i="8" a="1"/>
  <c r="AW72" i="8" s="1"/>
  <c r="AW71" i="8" a="1"/>
  <c r="AW71" i="8" s="1"/>
  <c r="AW70" i="8"/>
  <c r="AW70" i="8" a="1"/>
  <c r="AW69" i="8" a="1"/>
  <c r="AW69" i="8" s="1"/>
  <c r="AW68" i="8" a="1"/>
  <c r="AW68" i="8" s="1"/>
  <c r="AW67" i="8" a="1"/>
  <c r="AW67" i="8" s="1"/>
  <c r="AW66" i="8" a="1"/>
  <c r="AW66" i="8" s="1"/>
  <c r="AW65" i="8" a="1"/>
  <c r="AW65" i="8" s="1"/>
  <c r="AW64" i="8"/>
  <c r="AW64" i="8" a="1"/>
  <c r="AW63" i="8" a="1"/>
  <c r="AW63" i="8" s="1"/>
  <c r="AW62" i="8" a="1"/>
  <c r="AW62" i="8" s="1"/>
  <c r="AW61" i="8" a="1"/>
  <c r="AW61" i="8" s="1"/>
  <c r="AW60" i="8" a="1"/>
  <c r="AW60" i="8" s="1"/>
  <c r="AW59" i="8" a="1"/>
  <c r="AW59" i="8" s="1"/>
  <c r="AW58" i="8"/>
  <c r="AW58" i="8" a="1"/>
  <c r="AW57" i="8" a="1"/>
  <c r="AW57" i="8" s="1"/>
  <c r="AW56" i="8" a="1"/>
  <c r="AW56" i="8" s="1"/>
  <c r="AW55" i="8" a="1"/>
  <c r="AW55" i="8" s="1"/>
  <c r="AW54" i="8" a="1"/>
  <c r="AW54" i="8" s="1"/>
  <c r="AW53" i="8" a="1"/>
  <c r="AW53" i="8" s="1"/>
  <c r="AW52" i="8"/>
  <c r="AW52" i="8" a="1"/>
  <c r="AW51" i="8" a="1"/>
  <c r="AW51" i="8" s="1"/>
  <c r="AW50" i="8" a="1"/>
  <c r="AW50" i="8" s="1"/>
  <c r="AW49" i="8" a="1"/>
  <c r="AW49" i="8" s="1"/>
  <c r="AW48" i="8" a="1"/>
  <c r="AW48" i="8" s="1"/>
  <c r="AW47" i="8" a="1"/>
  <c r="AW47" i="8" s="1"/>
  <c r="AW46" i="8"/>
  <c r="AW46" i="8" a="1"/>
  <c r="AW45" i="8" a="1"/>
  <c r="AW45" i="8" s="1"/>
  <c r="AW44" i="8" a="1"/>
  <c r="AW44" i="8" s="1"/>
  <c r="AW43" i="8" a="1"/>
  <c r="AW43" i="8" s="1"/>
  <c r="AW42" i="8" a="1"/>
  <c r="AW42" i="8" s="1"/>
  <c r="AW41" i="8" a="1"/>
  <c r="AW41" i="8" s="1"/>
  <c r="AW40" i="8"/>
  <c r="AW40" i="8" a="1"/>
  <c r="AW39" i="8" a="1"/>
  <c r="AW39" i="8" s="1"/>
  <c r="AW38" i="8" a="1"/>
  <c r="AW38" i="8" s="1"/>
  <c r="AW37" i="8" a="1"/>
  <c r="AW37" i="8" s="1"/>
  <c r="AW36" i="8" a="1"/>
  <c r="AW36" i="8" s="1"/>
  <c r="AW35" i="8" a="1"/>
  <c r="AW35" i="8" s="1"/>
  <c r="AW34" i="8"/>
  <c r="AW34" i="8" a="1"/>
  <c r="AW33" i="8" a="1"/>
  <c r="AW33" i="8" s="1"/>
  <c r="AW32" i="8" a="1"/>
  <c r="AW32" i="8" s="1"/>
  <c r="AW31" i="8" a="1"/>
  <c r="AW31" i="8" s="1"/>
  <c r="AW30" i="8" a="1"/>
  <c r="AW30" i="8" s="1"/>
  <c r="AW29" i="8" a="1"/>
  <c r="AW29" i="8" s="1"/>
  <c r="AW28" i="8"/>
  <c r="AW28" i="8" a="1"/>
  <c r="AW27" i="8" a="1"/>
  <c r="AW27" i="8" s="1"/>
  <c r="AW26" i="8" a="1"/>
  <c r="AW26" i="8" s="1"/>
  <c r="AW25" i="8" a="1"/>
  <c r="AW25" i="8" s="1"/>
  <c r="AW24" i="8" a="1"/>
  <c r="AW24" i="8" s="1"/>
  <c r="AW23" i="8" a="1"/>
  <c r="AW23" i="8" s="1"/>
  <c r="AW22" i="8"/>
  <c r="AW22" i="8" a="1"/>
  <c r="AW21" i="8" a="1"/>
  <c r="AW21" i="8" s="1"/>
  <c r="AW20" i="8" a="1"/>
  <c r="AW20" i="8" s="1"/>
  <c r="AW19" i="8" a="1"/>
  <c r="AW19" i="8" s="1"/>
  <c r="AW18" i="8" a="1"/>
  <c r="AW18" i="8" s="1"/>
  <c r="AW17" i="8" a="1"/>
  <c r="AW17" i="8" s="1"/>
  <c r="AW16" i="8"/>
  <c r="AW16" i="8" a="1"/>
  <c r="AW15" i="8" a="1"/>
  <c r="AW15" i="8" s="1"/>
  <c r="AW14" i="8" a="1"/>
  <c r="AW14" i="8" s="1"/>
  <c r="AW13" i="8" a="1"/>
  <c r="AW13" i="8" s="1"/>
  <c r="AW12" i="8" a="1"/>
  <c r="AW12" i="8" s="1"/>
  <c r="AW11" i="8" a="1"/>
  <c r="AW11" i="8" s="1"/>
  <c r="AW10" i="8"/>
  <c r="AW10" i="8" a="1"/>
  <c r="AW9" i="8" a="1"/>
  <c r="AW9" i="8" s="1"/>
  <c r="AW8" i="8" a="1"/>
  <c r="AW8" i="8" s="1"/>
  <c r="AW7" i="8" a="1"/>
  <c r="AW7" i="8" s="1"/>
  <c r="AW6" i="8" a="1"/>
  <c r="AW6" i="8" s="1"/>
  <c r="AW5" i="8" a="1"/>
  <c r="AW5" i="8" s="1"/>
  <c r="AW4" i="8"/>
  <c r="AW4" i="8" a="1"/>
  <c r="AW3" i="8" a="1"/>
  <c r="AW3" i="8" s="1"/>
  <c r="AV171" i="8" a="1"/>
  <c r="AV171" i="8" s="1"/>
  <c r="AV170" i="8"/>
  <c r="AV170" i="8" a="1"/>
  <c r="AV169" i="8" a="1"/>
  <c r="AV169" i="8" s="1"/>
  <c r="AV168" i="8" a="1"/>
  <c r="AV168" i="8" s="1"/>
  <c r="AV167" i="8"/>
  <c r="AV167" i="8" a="1"/>
  <c r="AV166" i="8"/>
  <c r="AV166" i="8" a="1"/>
  <c r="AV165" i="8" a="1"/>
  <c r="AV165" i="8" s="1"/>
  <c r="AV164" i="8"/>
  <c r="AV164" i="8" a="1"/>
  <c r="AV163" i="8" a="1"/>
  <c r="AV163" i="8" s="1"/>
  <c r="AV162" i="8" a="1"/>
  <c r="AV162" i="8" s="1"/>
  <c r="AV161" i="8"/>
  <c r="AV161" i="8" a="1"/>
  <c r="AV160" i="8"/>
  <c r="AV160" i="8" a="1"/>
  <c r="AV159" i="8" a="1"/>
  <c r="AV159" i="8" s="1"/>
  <c r="AV158" i="8"/>
  <c r="AV158" i="8" a="1"/>
  <c r="AV157" i="8" a="1"/>
  <c r="AV157" i="8" s="1"/>
  <c r="AV156" i="8" a="1"/>
  <c r="AV156" i="8" s="1"/>
  <c r="AV155" i="8"/>
  <c r="AV155" i="8" a="1"/>
  <c r="AV154" i="8"/>
  <c r="AV154" i="8" a="1"/>
  <c r="AV153" i="8" a="1"/>
  <c r="AV153" i="8" s="1"/>
  <c r="AV152" i="8"/>
  <c r="AV152" i="8" a="1"/>
  <c r="AV151" i="8" a="1"/>
  <c r="AV151" i="8" s="1"/>
  <c r="AV150" i="8" a="1"/>
  <c r="AV150" i="8" s="1"/>
  <c r="AV149" i="8"/>
  <c r="AV149" i="8" a="1"/>
  <c r="AV148" i="8"/>
  <c r="AV148" i="8" a="1"/>
  <c r="AV147" i="8" a="1"/>
  <c r="AV147" i="8" s="1"/>
  <c r="AV146" i="8"/>
  <c r="AV146" i="8" a="1"/>
  <c r="AV145" i="8" a="1"/>
  <c r="AV145" i="8" s="1"/>
  <c r="AV144" i="8" a="1"/>
  <c r="AV144" i="8" s="1"/>
  <c r="AV143" i="8"/>
  <c r="AV143" i="8" a="1"/>
  <c r="AV142" i="8"/>
  <c r="AV142" i="8" a="1"/>
  <c r="AV141" i="8" a="1"/>
  <c r="AV141" i="8" s="1"/>
  <c r="AV140" i="8"/>
  <c r="AV140" i="8" a="1"/>
  <c r="AV139" i="8" a="1"/>
  <c r="AV139" i="8" s="1"/>
  <c r="AV138" i="8" a="1"/>
  <c r="AV138" i="8" s="1"/>
  <c r="AV137" i="8"/>
  <c r="AV137" i="8" a="1"/>
  <c r="AV136" i="8"/>
  <c r="AV136" i="8" a="1"/>
  <c r="AV135" i="8" a="1"/>
  <c r="AV135" i="8" s="1"/>
  <c r="AV134" i="8"/>
  <c r="AV134" i="8" a="1"/>
  <c r="AV133" i="8" a="1"/>
  <c r="AV133" i="8" s="1"/>
  <c r="AV132" i="8" a="1"/>
  <c r="AV132" i="8" s="1"/>
  <c r="AV131" i="8"/>
  <c r="AV131" i="8" a="1"/>
  <c r="AV130" i="8"/>
  <c r="AV130" i="8" a="1"/>
  <c r="AV129" i="8" a="1"/>
  <c r="AV129" i="8" s="1"/>
  <c r="AV128" i="8"/>
  <c r="AV128" i="8" a="1"/>
  <c r="AV127" i="8" a="1"/>
  <c r="AV127" i="8" s="1"/>
  <c r="AV126" i="8" a="1"/>
  <c r="AV126" i="8" s="1"/>
  <c r="AV125" i="8"/>
  <c r="AV125" i="8" a="1"/>
  <c r="AV124" i="8"/>
  <c r="AV124" i="8" a="1"/>
  <c r="AV123" i="8" a="1"/>
  <c r="AV123" i="8" s="1"/>
  <c r="AV122" i="8"/>
  <c r="AV122" i="8" a="1"/>
  <c r="AV121" i="8" a="1"/>
  <c r="AV121" i="8" s="1"/>
  <c r="AV120" i="8" a="1"/>
  <c r="AV120" i="8" s="1"/>
  <c r="AV119" i="8"/>
  <c r="AV119" i="8" a="1"/>
  <c r="AV118" i="8"/>
  <c r="AV118" i="8" a="1"/>
  <c r="AV117" i="8" a="1"/>
  <c r="AV117" i="8" s="1"/>
  <c r="AV116" i="8"/>
  <c r="AV116" i="8" a="1"/>
  <c r="AV115" i="8" a="1"/>
  <c r="AV115" i="8" s="1"/>
  <c r="AV114" i="8" a="1"/>
  <c r="AV114" i="8" s="1"/>
  <c r="AV113" i="8"/>
  <c r="AV113" i="8" a="1"/>
  <c r="AV112" i="8"/>
  <c r="AV112" i="8" a="1"/>
  <c r="AV111" i="8" a="1"/>
  <c r="AV111" i="8" s="1"/>
  <c r="AV110" i="8"/>
  <c r="AV110" i="8" a="1"/>
  <c r="AV109" i="8" a="1"/>
  <c r="AV109" i="8" s="1"/>
  <c r="AV108" i="8" a="1"/>
  <c r="AV108" i="8" s="1"/>
  <c r="AV107" i="8"/>
  <c r="AV107" i="8" a="1"/>
  <c r="AV106" i="8"/>
  <c r="AV106" i="8" a="1"/>
  <c r="AV105" i="8" a="1"/>
  <c r="AV105" i="8" s="1"/>
  <c r="AV104" i="8"/>
  <c r="AV104" i="8" a="1"/>
  <c r="AV103" i="8" a="1"/>
  <c r="AV103" i="8" s="1"/>
  <c r="AV102" i="8" a="1"/>
  <c r="AV102" i="8" s="1"/>
  <c r="AV101" i="8"/>
  <c r="AV101" i="8" a="1"/>
  <c r="AV100" i="8"/>
  <c r="AV100" i="8" a="1"/>
  <c r="AV99" i="8" a="1"/>
  <c r="AV99" i="8" s="1"/>
  <c r="AV98" i="8"/>
  <c r="AV98" i="8" a="1"/>
  <c r="AV97" i="8" a="1"/>
  <c r="AV97" i="8" s="1"/>
  <c r="AV96" i="8" a="1"/>
  <c r="AV96" i="8" s="1"/>
  <c r="AV95" i="8"/>
  <c r="AV95" i="8" a="1"/>
  <c r="AV94" i="8"/>
  <c r="AV94" i="8" a="1"/>
  <c r="AV93" i="8" a="1"/>
  <c r="AV93" i="8" s="1"/>
  <c r="AV92" i="8"/>
  <c r="AV92" i="8" a="1"/>
  <c r="AV91" i="8" a="1"/>
  <c r="AV91" i="8" s="1"/>
  <c r="AV90" i="8" a="1"/>
  <c r="AV90" i="8" s="1"/>
  <c r="AV89" i="8"/>
  <c r="AV89" i="8" a="1"/>
  <c r="AV88" i="8"/>
  <c r="AV88" i="8" a="1"/>
  <c r="AV87" i="8" a="1"/>
  <c r="AV87" i="8" s="1"/>
  <c r="AV86" i="8"/>
  <c r="AV86" i="8" a="1"/>
  <c r="AV85" i="8" a="1"/>
  <c r="AV85" i="8" s="1"/>
  <c r="AV84" i="8" a="1"/>
  <c r="AV84" i="8" s="1"/>
  <c r="AV83" i="8"/>
  <c r="AV83" i="8" a="1"/>
  <c r="AV82" i="8"/>
  <c r="AV82" i="8" a="1"/>
  <c r="AV81" i="8" a="1"/>
  <c r="AV81" i="8" s="1"/>
  <c r="AV80" i="8"/>
  <c r="AV80" i="8" a="1"/>
  <c r="AV79" i="8" a="1"/>
  <c r="AV79" i="8" s="1"/>
  <c r="AV78" i="8" a="1"/>
  <c r="AV78" i="8" s="1"/>
  <c r="AV77" i="8"/>
  <c r="AV77" i="8" a="1"/>
  <c r="AV76" i="8"/>
  <c r="AV76" i="8" a="1"/>
  <c r="AV75" i="8" a="1"/>
  <c r="AV75" i="8" s="1"/>
  <c r="AV74" i="8"/>
  <c r="AV74" i="8" a="1"/>
  <c r="AV73" i="8" a="1"/>
  <c r="AV73" i="8" s="1"/>
  <c r="AV72" i="8" a="1"/>
  <c r="AV72" i="8" s="1"/>
  <c r="AV71" i="8"/>
  <c r="AV71" i="8" a="1"/>
  <c r="AV70" i="8"/>
  <c r="AV70" i="8" a="1"/>
  <c r="AV69" i="8" a="1"/>
  <c r="AV69" i="8" s="1"/>
  <c r="AV68" i="8"/>
  <c r="AV68" i="8" a="1"/>
  <c r="AV67" i="8" a="1"/>
  <c r="AV67" i="8" s="1"/>
  <c r="AV66" i="8" a="1"/>
  <c r="AV66" i="8" s="1"/>
  <c r="AV65" i="8" a="1"/>
  <c r="AV65" i="8" s="1"/>
  <c r="AV64" i="8" a="1"/>
  <c r="AV64" i="8" s="1"/>
  <c r="AV63" i="8" a="1"/>
  <c r="AV63" i="8" s="1"/>
  <c r="AV62" i="8" a="1"/>
  <c r="AV62" i="8" s="1"/>
  <c r="AV61" i="8" a="1"/>
  <c r="AV61" i="8" s="1"/>
  <c r="AV60" i="8" a="1"/>
  <c r="AV60" i="8" s="1"/>
  <c r="AV59" i="8" a="1"/>
  <c r="AV59" i="8" s="1"/>
  <c r="AV58" i="8" a="1"/>
  <c r="AV58" i="8" s="1"/>
  <c r="AV57" i="8" a="1"/>
  <c r="AV57" i="8" s="1"/>
  <c r="AV56" i="8" a="1"/>
  <c r="AV56" i="8" s="1"/>
  <c r="AV55" i="8" a="1"/>
  <c r="AV55" i="8" s="1"/>
  <c r="AV54" i="8" a="1"/>
  <c r="AV54" i="8" s="1"/>
  <c r="AV53" i="8" a="1"/>
  <c r="AV53" i="8" s="1"/>
  <c r="AV52" i="8" a="1"/>
  <c r="AV52" i="8" s="1"/>
  <c r="AV51" i="8" a="1"/>
  <c r="AV51" i="8" s="1"/>
  <c r="AV50" i="8" a="1"/>
  <c r="AV50" i="8" s="1"/>
  <c r="AV49" i="8" a="1"/>
  <c r="AV49" i="8" s="1"/>
  <c r="AV48" i="8" a="1"/>
  <c r="AV48" i="8" s="1"/>
  <c r="AV47" i="8" a="1"/>
  <c r="AV47" i="8" s="1"/>
  <c r="AV46" i="8" a="1"/>
  <c r="AV46" i="8" s="1"/>
  <c r="AV45" i="8" a="1"/>
  <c r="AV45" i="8" s="1"/>
  <c r="AV44" i="8" a="1"/>
  <c r="AV44" i="8" s="1"/>
  <c r="AV43" i="8" a="1"/>
  <c r="AV43" i="8" s="1"/>
  <c r="AV42" i="8" a="1"/>
  <c r="AV42" i="8" s="1"/>
  <c r="AV41" i="8" a="1"/>
  <c r="AV41" i="8" s="1"/>
  <c r="AV40" i="8" a="1"/>
  <c r="AV40" i="8" s="1"/>
  <c r="AV39" i="8" a="1"/>
  <c r="AV39" i="8" s="1"/>
  <c r="AV38" i="8" a="1"/>
  <c r="AV38" i="8" s="1"/>
  <c r="AV37" i="8" a="1"/>
  <c r="AV37" i="8" s="1"/>
  <c r="AV36" i="8" a="1"/>
  <c r="AV36" i="8" s="1"/>
  <c r="AV35" i="8" a="1"/>
  <c r="AV35" i="8" s="1"/>
  <c r="AV34" i="8" a="1"/>
  <c r="AV34" i="8" s="1"/>
  <c r="AV33" i="8" a="1"/>
  <c r="AV33" i="8" s="1"/>
  <c r="AV32" i="8" a="1"/>
  <c r="AV32" i="8" s="1"/>
  <c r="AV31" i="8" a="1"/>
  <c r="AV31" i="8" s="1"/>
  <c r="AV30" i="8" a="1"/>
  <c r="AV30" i="8" s="1"/>
  <c r="AV29" i="8" a="1"/>
  <c r="AV29" i="8" s="1"/>
  <c r="AV28" i="8" a="1"/>
  <c r="AV28" i="8" s="1"/>
  <c r="AV27" i="8" a="1"/>
  <c r="AV27" i="8" s="1"/>
  <c r="AV26" i="8" a="1"/>
  <c r="AV26" i="8" s="1"/>
  <c r="AV25" i="8" a="1"/>
  <c r="AV25" i="8" s="1"/>
  <c r="AV24" i="8" a="1"/>
  <c r="AV24" i="8" s="1"/>
  <c r="AV23" i="8" a="1"/>
  <c r="AV23" i="8" s="1"/>
  <c r="AV22" i="8" a="1"/>
  <c r="AV22" i="8" s="1"/>
  <c r="AV21" i="8" a="1"/>
  <c r="AV21" i="8" s="1"/>
  <c r="AV20" i="8" a="1"/>
  <c r="AV20" i="8" s="1"/>
  <c r="AV19" i="8" a="1"/>
  <c r="AV19" i="8" s="1"/>
  <c r="AV18" i="8" a="1"/>
  <c r="AV18" i="8" s="1"/>
  <c r="AV17" i="8" a="1"/>
  <c r="AV17" i="8" s="1"/>
  <c r="AV16" i="8" a="1"/>
  <c r="AV16" i="8" s="1"/>
  <c r="AV15" i="8" a="1"/>
  <c r="AV15" i="8" s="1"/>
  <c r="AV14" i="8" a="1"/>
  <c r="AV14" i="8" s="1"/>
  <c r="AV13" i="8" a="1"/>
  <c r="AV13" i="8" s="1"/>
  <c r="AV12" i="8" a="1"/>
  <c r="AV12" i="8" s="1"/>
  <c r="AV11" i="8" a="1"/>
  <c r="AV11" i="8" s="1"/>
  <c r="AV10" i="8" a="1"/>
  <c r="AV10" i="8" s="1"/>
  <c r="AV9" i="8" a="1"/>
  <c r="AV9" i="8" s="1"/>
  <c r="AV8" i="8" a="1"/>
  <c r="AV8" i="8" s="1"/>
  <c r="AV7" i="8" a="1"/>
  <c r="AV7" i="8" s="1"/>
  <c r="AV6" i="8" a="1"/>
  <c r="AV6" i="8" s="1"/>
  <c r="AV5" i="8" a="1"/>
  <c r="AV5" i="8" s="1"/>
  <c r="AV4" i="8" a="1"/>
  <c r="AV4" i="8" s="1"/>
  <c r="AV3" i="8" a="1"/>
  <c r="AV3" i="8" s="1"/>
  <c r="A13" i="4"/>
  <c r="D13" i="4" s="1" a="1"/>
  <c r="D13" i="4" s="1"/>
  <c r="E13" i="4"/>
  <c r="H13" i="4" s="1" a="1"/>
  <c r="H13" i="4" s="1"/>
  <c r="BF171" i="8" a="1"/>
  <c r="BF171" i="8" s="1"/>
  <c r="BE171" i="8" a="1"/>
  <c r="BE171" i="8" s="1"/>
  <c r="BD171" i="8" a="1"/>
  <c r="BD171" i="8" s="1"/>
  <c r="BC171" i="8" a="1"/>
  <c r="BC171" i="8" s="1"/>
  <c r="BB171" i="8" a="1"/>
  <c r="BB171" i="8" s="1"/>
  <c r="BA171" i="8" a="1"/>
  <c r="BA171" i="8" s="1"/>
  <c r="AZ171" i="8" a="1"/>
  <c r="AZ171" i="8" s="1"/>
  <c r="AY171" i="8" a="1"/>
  <c r="AY171" i="8" s="1"/>
  <c r="BF170" i="8" a="1"/>
  <c r="BF170" i="8" s="1"/>
  <c r="BE170" i="8" a="1"/>
  <c r="BE170" i="8" s="1"/>
  <c r="BD170" i="8" a="1"/>
  <c r="BD170" i="8" s="1"/>
  <c r="BC170" i="8" a="1"/>
  <c r="BC170" i="8" s="1"/>
  <c r="BB170" i="8" a="1"/>
  <c r="BB170" i="8" s="1"/>
  <c r="BA170" i="8" a="1"/>
  <c r="BA170" i="8" s="1"/>
  <c r="AZ170" i="8" a="1"/>
  <c r="AZ170" i="8" s="1"/>
  <c r="AY170" i="8" a="1"/>
  <c r="AY170" i="8" s="1"/>
  <c r="BF169" i="8" a="1"/>
  <c r="BF169" i="8" s="1"/>
  <c r="BE169" i="8" a="1"/>
  <c r="BE169" i="8" s="1"/>
  <c r="BD169" i="8" a="1"/>
  <c r="BD169" i="8" s="1"/>
  <c r="BC169" i="8" a="1"/>
  <c r="BC169" i="8" s="1"/>
  <c r="BB169" i="8" a="1"/>
  <c r="BB169" i="8" s="1"/>
  <c r="BA169" i="8" a="1"/>
  <c r="BA169" i="8" s="1"/>
  <c r="AZ169" i="8" a="1"/>
  <c r="AZ169" i="8" s="1"/>
  <c r="AY169" i="8" a="1"/>
  <c r="AY169" i="8" s="1"/>
  <c r="BF168" i="8" a="1"/>
  <c r="BF168" i="8" s="1"/>
  <c r="BE168" i="8" a="1"/>
  <c r="BE168" i="8" s="1"/>
  <c r="BD168" i="8" a="1"/>
  <c r="BD168" i="8" s="1"/>
  <c r="BC168" i="8" a="1"/>
  <c r="BC168" i="8" s="1"/>
  <c r="BB168" i="8" a="1"/>
  <c r="BB168" i="8" s="1"/>
  <c r="BA168" i="8" a="1"/>
  <c r="BA168" i="8" s="1"/>
  <c r="AZ168" i="8" a="1"/>
  <c r="AZ168" i="8" s="1"/>
  <c r="AY168" i="8" a="1"/>
  <c r="AY168" i="8" s="1"/>
  <c r="BF167" i="8" a="1"/>
  <c r="BF167" i="8" s="1"/>
  <c r="BE167" i="8" a="1"/>
  <c r="BE167" i="8" s="1"/>
  <c r="BD167" i="8" a="1"/>
  <c r="BD167" i="8" s="1"/>
  <c r="BC167" i="8"/>
  <c r="BC167" i="8" a="1"/>
  <c r="BB167" i="8" a="1"/>
  <c r="BB167" i="8" s="1"/>
  <c r="BA167" i="8" a="1"/>
  <c r="BA167" i="8" s="1"/>
  <c r="AZ167" i="8" a="1"/>
  <c r="AZ167" i="8" s="1"/>
  <c r="AY167" i="8" a="1"/>
  <c r="AY167" i="8" s="1"/>
  <c r="BF166" i="8" a="1"/>
  <c r="BF166" i="8" s="1"/>
  <c r="BE166" i="8" a="1"/>
  <c r="BE166" i="8" s="1"/>
  <c r="BD166" i="8" a="1"/>
  <c r="BD166" i="8" s="1"/>
  <c r="BC166" i="8" a="1"/>
  <c r="BC166" i="8" s="1"/>
  <c r="BB166" i="8" a="1"/>
  <c r="BB166" i="8" s="1"/>
  <c r="BA166" i="8" a="1"/>
  <c r="BA166" i="8" s="1"/>
  <c r="AZ166" i="8" a="1"/>
  <c r="AZ166" i="8" s="1"/>
  <c r="AY166" i="8" a="1"/>
  <c r="AY166" i="8" s="1"/>
  <c r="BF165" i="8" a="1"/>
  <c r="BF165" i="8" s="1"/>
  <c r="BE165" i="8" a="1"/>
  <c r="BE165" i="8" s="1"/>
  <c r="BD165" i="8" a="1"/>
  <c r="BD165" i="8" s="1"/>
  <c r="BC165" i="8" a="1"/>
  <c r="BC165" i="8" s="1"/>
  <c r="BB165" i="8" a="1"/>
  <c r="BB165" i="8" s="1"/>
  <c r="BA165" i="8" a="1"/>
  <c r="BA165" i="8" s="1"/>
  <c r="AZ165" i="8" a="1"/>
  <c r="AZ165" i="8" s="1"/>
  <c r="AY165" i="8" a="1"/>
  <c r="AY165" i="8" s="1"/>
  <c r="BF164" i="8" a="1"/>
  <c r="BF164" i="8" s="1"/>
  <c r="BE164" i="8" a="1"/>
  <c r="BE164" i="8" s="1"/>
  <c r="BD164" i="8" a="1"/>
  <c r="BD164" i="8" s="1"/>
  <c r="BC164" i="8" a="1"/>
  <c r="BC164" i="8" s="1"/>
  <c r="BB164" i="8" a="1"/>
  <c r="BB164" i="8" s="1"/>
  <c r="BA164" i="8" a="1"/>
  <c r="BA164" i="8" s="1"/>
  <c r="AZ164" i="8" a="1"/>
  <c r="AZ164" i="8" s="1"/>
  <c r="AY164" i="8" a="1"/>
  <c r="AY164" i="8" s="1"/>
  <c r="BF163" i="8" a="1"/>
  <c r="BF163" i="8" s="1"/>
  <c r="BE163" i="8" a="1"/>
  <c r="BE163" i="8" s="1"/>
  <c r="BD163" i="8" a="1"/>
  <c r="BD163" i="8" s="1"/>
  <c r="BC163" i="8" a="1"/>
  <c r="BC163" i="8" s="1"/>
  <c r="BB163" i="8" a="1"/>
  <c r="BB163" i="8" s="1"/>
  <c r="BA163" i="8" a="1"/>
  <c r="BA163" i="8" s="1"/>
  <c r="AZ163" i="8" a="1"/>
  <c r="AZ163" i="8" s="1"/>
  <c r="AY163" i="8" a="1"/>
  <c r="AY163" i="8" s="1"/>
  <c r="BF162" i="8" a="1"/>
  <c r="BF162" i="8" s="1"/>
  <c r="BE162" i="8" a="1"/>
  <c r="BE162" i="8" s="1"/>
  <c r="BD162" i="8" a="1"/>
  <c r="BD162" i="8" s="1"/>
  <c r="BC162" i="8" a="1"/>
  <c r="BC162" i="8" s="1"/>
  <c r="BB162" i="8" a="1"/>
  <c r="BB162" i="8" s="1"/>
  <c r="BA162" i="8" a="1"/>
  <c r="BA162" i="8" s="1"/>
  <c r="AZ162" i="8" a="1"/>
  <c r="AZ162" i="8" s="1"/>
  <c r="AY162" i="8" a="1"/>
  <c r="AY162" i="8" s="1"/>
  <c r="BF161" i="8" a="1"/>
  <c r="BF161" i="8" s="1"/>
  <c r="BE161" i="8" a="1"/>
  <c r="BE161" i="8" s="1"/>
  <c r="BD161" i="8" a="1"/>
  <c r="BD161" i="8" s="1"/>
  <c r="BC161" i="8" a="1"/>
  <c r="BC161" i="8" s="1"/>
  <c r="BB161" i="8" a="1"/>
  <c r="BB161" i="8" s="1"/>
  <c r="BA161" i="8" a="1"/>
  <c r="BA161" i="8" s="1"/>
  <c r="AZ161" i="8" a="1"/>
  <c r="AZ161" i="8" s="1"/>
  <c r="AY161" i="8" a="1"/>
  <c r="AY161" i="8" s="1"/>
  <c r="BF160" i="8" a="1"/>
  <c r="BF160" i="8" s="1"/>
  <c r="BE160" i="8" a="1"/>
  <c r="BE160" i="8" s="1"/>
  <c r="BD160" i="8" a="1"/>
  <c r="BD160" i="8" s="1"/>
  <c r="BC160" i="8" a="1"/>
  <c r="BC160" i="8" s="1"/>
  <c r="BB160" i="8" a="1"/>
  <c r="BB160" i="8" s="1"/>
  <c r="BA160" i="8" a="1"/>
  <c r="BA160" i="8" s="1"/>
  <c r="AZ160" i="8" a="1"/>
  <c r="AZ160" i="8" s="1"/>
  <c r="AY160" i="8" a="1"/>
  <c r="AY160" i="8" s="1"/>
  <c r="BF159" i="8" a="1"/>
  <c r="BF159" i="8" s="1"/>
  <c r="BE159" i="8" a="1"/>
  <c r="BE159" i="8" s="1"/>
  <c r="BD159" i="8" a="1"/>
  <c r="BD159" i="8" s="1"/>
  <c r="BC159" i="8" a="1"/>
  <c r="BC159" i="8" s="1"/>
  <c r="BB159" i="8" a="1"/>
  <c r="BB159" i="8" s="1"/>
  <c r="BA159" i="8" a="1"/>
  <c r="BA159" i="8" s="1"/>
  <c r="AZ159" i="8" a="1"/>
  <c r="AZ159" i="8" s="1"/>
  <c r="AY159" i="8" a="1"/>
  <c r="AY159" i="8" s="1"/>
  <c r="BF158" i="8" a="1"/>
  <c r="BF158" i="8" s="1"/>
  <c r="BE158" i="8" a="1"/>
  <c r="BE158" i="8" s="1"/>
  <c r="BD158" i="8" a="1"/>
  <c r="BD158" i="8" s="1"/>
  <c r="BC158" i="8" a="1"/>
  <c r="BC158" i="8" s="1"/>
  <c r="BB158" i="8" a="1"/>
  <c r="BB158" i="8" s="1"/>
  <c r="BA158" i="8" a="1"/>
  <c r="BA158" i="8" s="1"/>
  <c r="AZ158" i="8" a="1"/>
  <c r="AZ158" i="8" s="1"/>
  <c r="AY158" i="8" a="1"/>
  <c r="AY158" i="8" s="1"/>
  <c r="BF157" i="8" a="1"/>
  <c r="BF157" i="8" s="1"/>
  <c r="BE157" i="8" a="1"/>
  <c r="BE157" i="8" s="1"/>
  <c r="BD157" i="8" a="1"/>
  <c r="BD157" i="8" s="1"/>
  <c r="BC157" i="8" a="1"/>
  <c r="BC157" i="8" s="1"/>
  <c r="BB157" i="8" a="1"/>
  <c r="BB157" i="8" s="1"/>
  <c r="BA157" i="8" a="1"/>
  <c r="BA157" i="8" s="1"/>
  <c r="AZ157" i="8" a="1"/>
  <c r="AZ157" i="8" s="1"/>
  <c r="AY157" i="8" a="1"/>
  <c r="AY157" i="8" s="1"/>
  <c r="BF156" i="8" a="1"/>
  <c r="BF156" i="8" s="1"/>
  <c r="BE156" i="8" a="1"/>
  <c r="BE156" i="8" s="1"/>
  <c r="BD156" i="8" a="1"/>
  <c r="BD156" i="8" s="1"/>
  <c r="BC156" i="8" a="1"/>
  <c r="BC156" i="8" s="1"/>
  <c r="BB156" i="8" a="1"/>
  <c r="BB156" i="8" s="1"/>
  <c r="BA156" i="8" a="1"/>
  <c r="BA156" i="8" s="1"/>
  <c r="AZ156" i="8" a="1"/>
  <c r="AZ156" i="8" s="1"/>
  <c r="AY156" i="8" a="1"/>
  <c r="AY156" i="8" s="1"/>
  <c r="BF155" i="8" a="1"/>
  <c r="BF155" i="8" s="1"/>
  <c r="BE155" i="8" a="1"/>
  <c r="BE155" i="8" s="1"/>
  <c r="BD155" i="8" a="1"/>
  <c r="BD155" i="8" s="1"/>
  <c r="BC155" i="8" a="1"/>
  <c r="BC155" i="8" s="1"/>
  <c r="BB155" i="8" a="1"/>
  <c r="BB155" i="8" s="1"/>
  <c r="BA155" i="8" a="1"/>
  <c r="BA155" i="8" s="1"/>
  <c r="AZ155" i="8" a="1"/>
  <c r="AZ155" i="8" s="1"/>
  <c r="AY155" i="8" a="1"/>
  <c r="AY155" i="8" s="1"/>
  <c r="BF154" i="8" a="1"/>
  <c r="BF154" i="8" s="1"/>
  <c r="BE154" i="8" a="1"/>
  <c r="BE154" i="8" s="1"/>
  <c r="BD154" i="8" a="1"/>
  <c r="BD154" i="8" s="1"/>
  <c r="BC154" i="8" a="1"/>
  <c r="BC154" i="8" s="1"/>
  <c r="BB154" i="8" a="1"/>
  <c r="BB154" i="8" s="1"/>
  <c r="BA154" i="8" a="1"/>
  <c r="BA154" i="8" s="1"/>
  <c r="AZ154" i="8" a="1"/>
  <c r="AZ154" i="8" s="1"/>
  <c r="AY154" i="8" a="1"/>
  <c r="AY154" i="8" s="1"/>
  <c r="BF153" i="8" a="1"/>
  <c r="BF153" i="8" s="1"/>
  <c r="BE153" i="8" a="1"/>
  <c r="BE153" i="8" s="1"/>
  <c r="BD153" i="8" a="1"/>
  <c r="BD153" i="8" s="1"/>
  <c r="BC153" i="8" a="1"/>
  <c r="BC153" i="8" s="1"/>
  <c r="BB153" i="8" a="1"/>
  <c r="BB153" i="8" s="1"/>
  <c r="BA153" i="8" a="1"/>
  <c r="BA153" i="8" s="1"/>
  <c r="AZ153" i="8" a="1"/>
  <c r="AZ153" i="8" s="1"/>
  <c r="AY153" i="8" a="1"/>
  <c r="AY153" i="8" s="1"/>
  <c r="BF152" i="8" a="1"/>
  <c r="BF152" i="8" s="1"/>
  <c r="BE152" i="8" a="1"/>
  <c r="BE152" i="8" s="1"/>
  <c r="BD152" i="8" a="1"/>
  <c r="BD152" i="8" s="1"/>
  <c r="BC152" i="8" a="1"/>
  <c r="BC152" i="8" s="1"/>
  <c r="BB152" i="8" a="1"/>
  <c r="BB152" i="8" s="1"/>
  <c r="BA152" i="8" a="1"/>
  <c r="BA152" i="8" s="1"/>
  <c r="AZ152" i="8" a="1"/>
  <c r="AZ152" i="8" s="1"/>
  <c r="AY152" i="8" a="1"/>
  <c r="AY152" i="8" s="1"/>
  <c r="BF151" i="8" a="1"/>
  <c r="BF151" i="8" s="1"/>
  <c r="BE151" i="8" a="1"/>
  <c r="BE151" i="8" s="1"/>
  <c r="BD151" i="8" a="1"/>
  <c r="BD151" i="8" s="1"/>
  <c r="BC151" i="8" a="1"/>
  <c r="BC151" i="8" s="1"/>
  <c r="BB151" i="8" a="1"/>
  <c r="BB151" i="8" s="1"/>
  <c r="BA151" i="8" a="1"/>
  <c r="BA151" i="8" s="1"/>
  <c r="AZ151" i="8" a="1"/>
  <c r="AZ151" i="8" s="1"/>
  <c r="AY151" i="8" a="1"/>
  <c r="AY151" i="8" s="1"/>
  <c r="BF150" i="8" a="1"/>
  <c r="BF150" i="8" s="1"/>
  <c r="BE150" i="8" a="1"/>
  <c r="BE150" i="8" s="1"/>
  <c r="BD150" i="8" a="1"/>
  <c r="BD150" i="8" s="1"/>
  <c r="BC150" i="8" a="1"/>
  <c r="BC150" i="8" s="1"/>
  <c r="BB150" i="8" a="1"/>
  <c r="BB150" i="8" s="1"/>
  <c r="BA150" i="8" a="1"/>
  <c r="BA150" i="8" s="1"/>
  <c r="AZ150" i="8" a="1"/>
  <c r="AZ150" i="8" s="1"/>
  <c r="AY150" i="8" a="1"/>
  <c r="AY150" i="8" s="1"/>
  <c r="BF149" i="8" a="1"/>
  <c r="BF149" i="8" s="1"/>
  <c r="BE149" i="8" a="1"/>
  <c r="BE149" i="8" s="1"/>
  <c r="BD149" i="8" a="1"/>
  <c r="BD149" i="8" s="1"/>
  <c r="BC149" i="8" a="1"/>
  <c r="BC149" i="8" s="1"/>
  <c r="BB149" i="8" a="1"/>
  <c r="BB149" i="8" s="1"/>
  <c r="BA149" i="8" a="1"/>
  <c r="BA149" i="8" s="1"/>
  <c r="AZ149" i="8" a="1"/>
  <c r="AZ149" i="8" s="1"/>
  <c r="AY149" i="8" a="1"/>
  <c r="AY149" i="8" s="1"/>
  <c r="BF148" i="8" a="1"/>
  <c r="BF148" i="8" s="1"/>
  <c r="BE148" i="8" a="1"/>
  <c r="BE148" i="8" s="1"/>
  <c r="BD148" i="8" a="1"/>
  <c r="BD148" i="8" s="1"/>
  <c r="BC148" i="8" a="1"/>
  <c r="BC148" i="8" s="1"/>
  <c r="BB148" i="8" a="1"/>
  <c r="BB148" i="8" s="1"/>
  <c r="BA148" i="8" a="1"/>
  <c r="BA148" i="8" s="1"/>
  <c r="AZ148" i="8" a="1"/>
  <c r="AZ148" i="8" s="1"/>
  <c r="AY148" i="8" a="1"/>
  <c r="AY148" i="8" s="1"/>
  <c r="BF147" i="8" a="1"/>
  <c r="BF147" i="8" s="1"/>
  <c r="BE147" i="8" a="1"/>
  <c r="BE147" i="8" s="1"/>
  <c r="BD147" i="8" a="1"/>
  <c r="BD147" i="8" s="1"/>
  <c r="BC147" i="8" a="1"/>
  <c r="BC147" i="8" s="1"/>
  <c r="BB147" i="8" a="1"/>
  <c r="BB147" i="8" s="1"/>
  <c r="BA147" i="8" a="1"/>
  <c r="BA147" i="8" s="1"/>
  <c r="AZ147" i="8" a="1"/>
  <c r="AZ147" i="8" s="1"/>
  <c r="AY147" i="8" a="1"/>
  <c r="AY147" i="8" s="1"/>
  <c r="BF146" i="8" a="1"/>
  <c r="BF146" i="8" s="1"/>
  <c r="BE146" i="8" a="1"/>
  <c r="BE146" i="8" s="1"/>
  <c r="BD146" i="8" a="1"/>
  <c r="BD146" i="8" s="1"/>
  <c r="BC146" i="8" a="1"/>
  <c r="BC146" i="8" s="1"/>
  <c r="BB146" i="8" a="1"/>
  <c r="BB146" i="8" s="1"/>
  <c r="BA146" i="8" a="1"/>
  <c r="BA146" i="8" s="1"/>
  <c r="AZ146" i="8" a="1"/>
  <c r="AZ146" i="8" s="1"/>
  <c r="AY146" i="8" a="1"/>
  <c r="AY146" i="8" s="1"/>
  <c r="BF145" i="8" a="1"/>
  <c r="BF145" i="8" s="1"/>
  <c r="BE145" i="8" a="1"/>
  <c r="BE145" i="8" s="1"/>
  <c r="BD145" i="8" a="1"/>
  <c r="BD145" i="8" s="1"/>
  <c r="BC145" i="8" a="1"/>
  <c r="BC145" i="8" s="1"/>
  <c r="BB145" i="8" a="1"/>
  <c r="BB145" i="8" s="1"/>
  <c r="BA145" i="8" a="1"/>
  <c r="BA145" i="8" s="1"/>
  <c r="AZ145" i="8" a="1"/>
  <c r="AZ145" i="8" s="1"/>
  <c r="AY145" i="8" a="1"/>
  <c r="AY145" i="8" s="1"/>
  <c r="BF144" i="8" a="1"/>
  <c r="BF144" i="8" s="1"/>
  <c r="BE144" i="8" a="1"/>
  <c r="BE144" i="8" s="1"/>
  <c r="BD144" i="8" a="1"/>
  <c r="BD144" i="8" s="1"/>
  <c r="BC144" i="8" a="1"/>
  <c r="BC144" i="8" s="1"/>
  <c r="BB144" i="8" a="1"/>
  <c r="BB144" i="8" s="1"/>
  <c r="BA144" i="8" a="1"/>
  <c r="BA144" i="8" s="1"/>
  <c r="AZ144" i="8" a="1"/>
  <c r="AZ144" i="8" s="1"/>
  <c r="AY144" i="8" a="1"/>
  <c r="AY144" i="8" s="1"/>
  <c r="BF143" i="8" a="1"/>
  <c r="BF143" i="8" s="1"/>
  <c r="BE143" i="8" a="1"/>
  <c r="BE143" i="8" s="1"/>
  <c r="BD143" i="8" a="1"/>
  <c r="BD143" i="8" s="1"/>
  <c r="BC143" i="8" a="1"/>
  <c r="BC143" i="8" s="1"/>
  <c r="BB143" i="8" a="1"/>
  <c r="BB143" i="8" s="1"/>
  <c r="BA143" i="8" a="1"/>
  <c r="BA143" i="8" s="1"/>
  <c r="AZ143" i="8" a="1"/>
  <c r="AZ143" i="8" s="1"/>
  <c r="AY143" i="8" a="1"/>
  <c r="AY143" i="8" s="1"/>
  <c r="BF142" i="8" a="1"/>
  <c r="BF142" i="8" s="1"/>
  <c r="BE142" i="8" a="1"/>
  <c r="BE142" i="8" s="1"/>
  <c r="BD142" i="8" a="1"/>
  <c r="BD142" i="8" s="1"/>
  <c r="BC142" i="8" a="1"/>
  <c r="BC142" i="8" s="1"/>
  <c r="BB142" i="8" a="1"/>
  <c r="BB142" i="8" s="1"/>
  <c r="BA142" i="8" a="1"/>
  <c r="BA142" i="8" s="1"/>
  <c r="AZ142" i="8" a="1"/>
  <c r="AZ142" i="8" s="1"/>
  <c r="AY142" i="8"/>
  <c r="AY142" i="8" a="1"/>
  <c r="BF141" i="8" a="1"/>
  <c r="BF141" i="8" s="1"/>
  <c r="BE141" i="8" a="1"/>
  <c r="BE141" i="8" s="1"/>
  <c r="BD141" i="8" a="1"/>
  <c r="BD141" i="8" s="1"/>
  <c r="BC141" i="8" a="1"/>
  <c r="BC141" i="8" s="1"/>
  <c r="BB141" i="8" a="1"/>
  <c r="BB141" i="8" s="1"/>
  <c r="BA141" i="8" a="1"/>
  <c r="BA141" i="8" s="1"/>
  <c r="AZ141" i="8" a="1"/>
  <c r="AZ141" i="8" s="1"/>
  <c r="AY141" i="8" a="1"/>
  <c r="AY141" i="8" s="1"/>
  <c r="BF140" i="8" a="1"/>
  <c r="BF140" i="8" s="1"/>
  <c r="BE140" i="8" a="1"/>
  <c r="BE140" i="8" s="1"/>
  <c r="BD140" i="8" a="1"/>
  <c r="BD140" i="8" s="1"/>
  <c r="BC140" i="8" a="1"/>
  <c r="BC140" i="8" s="1"/>
  <c r="BB140" i="8" a="1"/>
  <c r="BB140" i="8" s="1"/>
  <c r="BA140" i="8" a="1"/>
  <c r="BA140" i="8" s="1"/>
  <c r="AZ140" i="8" a="1"/>
  <c r="AZ140" i="8" s="1"/>
  <c r="AY140" i="8" a="1"/>
  <c r="AY140" i="8" s="1"/>
  <c r="BF139" i="8" a="1"/>
  <c r="BF139" i="8" s="1"/>
  <c r="BE139" i="8" a="1"/>
  <c r="BE139" i="8" s="1"/>
  <c r="BD139" i="8" a="1"/>
  <c r="BD139" i="8" s="1"/>
  <c r="BC139" i="8" a="1"/>
  <c r="BC139" i="8" s="1"/>
  <c r="BB139" i="8" a="1"/>
  <c r="BB139" i="8" s="1"/>
  <c r="BA139" i="8" a="1"/>
  <c r="BA139" i="8" s="1"/>
  <c r="AZ139" i="8" a="1"/>
  <c r="AZ139" i="8" s="1"/>
  <c r="AY139" i="8" a="1"/>
  <c r="AY139" i="8" s="1"/>
  <c r="BF138" i="8" a="1"/>
  <c r="BF138" i="8" s="1"/>
  <c r="BE138" i="8" a="1"/>
  <c r="BE138" i="8" s="1"/>
  <c r="BD138" i="8" a="1"/>
  <c r="BD138" i="8" s="1"/>
  <c r="BC138" i="8" a="1"/>
  <c r="BC138" i="8" s="1"/>
  <c r="BB138" i="8" a="1"/>
  <c r="BB138" i="8" s="1"/>
  <c r="BA138" i="8" a="1"/>
  <c r="BA138" i="8" s="1"/>
  <c r="AZ138" i="8" a="1"/>
  <c r="AZ138" i="8" s="1"/>
  <c r="AY138" i="8" a="1"/>
  <c r="AY138" i="8" s="1"/>
  <c r="BF137" i="8" a="1"/>
  <c r="BF137" i="8" s="1"/>
  <c r="BE137" i="8" a="1"/>
  <c r="BE137" i="8" s="1"/>
  <c r="BD137" i="8" a="1"/>
  <c r="BD137" i="8" s="1"/>
  <c r="BC137" i="8" a="1"/>
  <c r="BC137" i="8" s="1"/>
  <c r="BB137" i="8" a="1"/>
  <c r="BB137" i="8" s="1"/>
  <c r="BA137" i="8" a="1"/>
  <c r="BA137" i="8" s="1"/>
  <c r="AZ137" i="8" a="1"/>
  <c r="AZ137" i="8" s="1"/>
  <c r="AY137" i="8" a="1"/>
  <c r="AY137" i="8" s="1"/>
  <c r="BF136" i="8" a="1"/>
  <c r="BF136" i="8" s="1"/>
  <c r="BE136" i="8" a="1"/>
  <c r="BE136" i="8" s="1"/>
  <c r="BD136" i="8" a="1"/>
  <c r="BD136" i="8" s="1"/>
  <c r="BC136" i="8" a="1"/>
  <c r="BC136" i="8" s="1"/>
  <c r="BB136" i="8" a="1"/>
  <c r="BB136" i="8" s="1"/>
  <c r="BA136" i="8" a="1"/>
  <c r="BA136" i="8" s="1"/>
  <c r="AZ136" i="8" a="1"/>
  <c r="AZ136" i="8" s="1"/>
  <c r="AY136" i="8" a="1"/>
  <c r="AY136" i="8" s="1"/>
  <c r="BF135" i="8" a="1"/>
  <c r="BF135" i="8" s="1"/>
  <c r="BE135" i="8" a="1"/>
  <c r="BE135" i="8" s="1"/>
  <c r="BD135" i="8" a="1"/>
  <c r="BD135" i="8" s="1"/>
  <c r="BC135" i="8" a="1"/>
  <c r="BC135" i="8" s="1"/>
  <c r="BB135" i="8" a="1"/>
  <c r="BB135" i="8" s="1"/>
  <c r="BA135" i="8" a="1"/>
  <c r="BA135" i="8" s="1"/>
  <c r="AZ135" i="8" a="1"/>
  <c r="AZ135" i="8" s="1"/>
  <c r="AY135" i="8" a="1"/>
  <c r="AY135" i="8" s="1"/>
  <c r="BF134" i="8" a="1"/>
  <c r="BF134" i="8" s="1"/>
  <c r="BE134" i="8" a="1"/>
  <c r="BE134" i="8" s="1"/>
  <c r="BD134" i="8" a="1"/>
  <c r="BD134" i="8" s="1"/>
  <c r="BC134" i="8" a="1"/>
  <c r="BC134" i="8" s="1"/>
  <c r="BB134" i="8" a="1"/>
  <c r="BB134" i="8" s="1"/>
  <c r="BA134" i="8" a="1"/>
  <c r="BA134" i="8" s="1"/>
  <c r="AZ134" i="8" a="1"/>
  <c r="AZ134" i="8" s="1"/>
  <c r="AY134" i="8" a="1"/>
  <c r="AY134" i="8" s="1"/>
  <c r="BF133" i="8" a="1"/>
  <c r="BF133" i="8" s="1"/>
  <c r="BE133" i="8" a="1"/>
  <c r="BE133" i="8" s="1"/>
  <c r="BD133" i="8" a="1"/>
  <c r="BD133" i="8" s="1"/>
  <c r="BC133" i="8" a="1"/>
  <c r="BC133" i="8" s="1"/>
  <c r="BB133" i="8" a="1"/>
  <c r="BB133" i="8" s="1"/>
  <c r="BA133" i="8" a="1"/>
  <c r="BA133" i="8" s="1"/>
  <c r="AZ133" i="8" a="1"/>
  <c r="AZ133" i="8" s="1"/>
  <c r="AY133" i="8" a="1"/>
  <c r="AY133" i="8" s="1"/>
  <c r="BF132" i="8" a="1"/>
  <c r="BF132" i="8" s="1"/>
  <c r="BE132" i="8" a="1"/>
  <c r="BE132" i="8" s="1"/>
  <c r="BD132" i="8" a="1"/>
  <c r="BD132" i="8" s="1"/>
  <c r="BC132" i="8" a="1"/>
  <c r="BC132" i="8" s="1"/>
  <c r="BB132" i="8" a="1"/>
  <c r="BB132" i="8" s="1"/>
  <c r="BA132" i="8" a="1"/>
  <c r="BA132" i="8" s="1"/>
  <c r="AZ132" i="8" a="1"/>
  <c r="AZ132" i="8" s="1"/>
  <c r="AY132" i="8" a="1"/>
  <c r="AY132" i="8" s="1"/>
  <c r="BF131" i="8" a="1"/>
  <c r="BF131" i="8" s="1"/>
  <c r="BE131" i="8" a="1"/>
  <c r="BE131" i="8" s="1"/>
  <c r="BD131" i="8" a="1"/>
  <c r="BD131" i="8" s="1"/>
  <c r="BC131" i="8" a="1"/>
  <c r="BC131" i="8" s="1"/>
  <c r="BB131" i="8" a="1"/>
  <c r="BB131" i="8" s="1"/>
  <c r="BA131" i="8" a="1"/>
  <c r="BA131" i="8" s="1"/>
  <c r="AZ131" i="8" a="1"/>
  <c r="AZ131" i="8" s="1"/>
  <c r="AY131" i="8" a="1"/>
  <c r="AY131" i="8" s="1"/>
  <c r="BF130" i="8" a="1"/>
  <c r="BF130" i="8" s="1"/>
  <c r="BE130" i="8" a="1"/>
  <c r="BE130" i="8" s="1"/>
  <c r="BD130" i="8" a="1"/>
  <c r="BD130" i="8" s="1"/>
  <c r="BC130" i="8" a="1"/>
  <c r="BC130" i="8" s="1"/>
  <c r="BB130" i="8" a="1"/>
  <c r="BB130" i="8" s="1"/>
  <c r="BA130" i="8" a="1"/>
  <c r="BA130" i="8" s="1"/>
  <c r="AZ130" i="8" a="1"/>
  <c r="AZ130" i="8" s="1"/>
  <c r="AY130" i="8" a="1"/>
  <c r="AY130" i="8" s="1"/>
  <c r="BF129" i="8" a="1"/>
  <c r="BF129" i="8" s="1"/>
  <c r="BE129" i="8" a="1"/>
  <c r="BE129" i="8" s="1"/>
  <c r="BD129" i="8" a="1"/>
  <c r="BD129" i="8" s="1"/>
  <c r="BC129" i="8" a="1"/>
  <c r="BC129" i="8" s="1"/>
  <c r="BB129" i="8" a="1"/>
  <c r="BB129" i="8" s="1"/>
  <c r="BA129" i="8" a="1"/>
  <c r="BA129" i="8" s="1"/>
  <c r="AZ129" i="8" a="1"/>
  <c r="AZ129" i="8" s="1"/>
  <c r="AY129" i="8" a="1"/>
  <c r="AY129" i="8" s="1"/>
  <c r="BF128" i="8" a="1"/>
  <c r="BF128" i="8" s="1"/>
  <c r="BE128" i="8" a="1"/>
  <c r="BE128" i="8" s="1"/>
  <c r="BD128" i="8" a="1"/>
  <c r="BD128" i="8" s="1"/>
  <c r="BC128" i="8" a="1"/>
  <c r="BC128" i="8" s="1"/>
  <c r="BB128" i="8" a="1"/>
  <c r="BB128" i="8" s="1"/>
  <c r="BA128" i="8" a="1"/>
  <c r="BA128" i="8" s="1"/>
  <c r="AZ128" i="8" a="1"/>
  <c r="AZ128" i="8" s="1"/>
  <c r="AY128" i="8" a="1"/>
  <c r="AY128" i="8" s="1"/>
  <c r="BF127" i="8" a="1"/>
  <c r="BF127" i="8" s="1"/>
  <c r="BE127" i="8" a="1"/>
  <c r="BE127" i="8" s="1"/>
  <c r="BD127" i="8" a="1"/>
  <c r="BD127" i="8" s="1"/>
  <c r="BC127" i="8" a="1"/>
  <c r="BC127" i="8" s="1"/>
  <c r="BB127" i="8" a="1"/>
  <c r="BB127" i="8" s="1"/>
  <c r="BA127" i="8" a="1"/>
  <c r="BA127" i="8" s="1"/>
  <c r="AZ127" i="8" a="1"/>
  <c r="AZ127" i="8" s="1"/>
  <c r="AY127" i="8"/>
  <c r="AY127" i="8" a="1"/>
  <c r="BF126" i="8" a="1"/>
  <c r="BF126" i="8" s="1"/>
  <c r="BE126" i="8" a="1"/>
  <c r="BE126" i="8" s="1"/>
  <c r="BD126" i="8" a="1"/>
  <c r="BD126" i="8" s="1"/>
  <c r="BC126" i="8" a="1"/>
  <c r="BC126" i="8" s="1"/>
  <c r="BB126" i="8" a="1"/>
  <c r="BB126" i="8" s="1"/>
  <c r="BA126" i="8" a="1"/>
  <c r="BA126" i="8" s="1"/>
  <c r="AZ126" i="8" a="1"/>
  <c r="AZ126" i="8" s="1"/>
  <c r="AY126" i="8" a="1"/>
  <c r="AY126" i="8" s="1"/>
  <c r="BF125" i="8" a="1"/>
  <c r="BF125" i="8" s="1"/>
  <c r="BE125" i="8" a="1"/>
  <c r="BE125" i="8" s="1"/>
  <c r="BD125" i="8" a="1"/>
  <c r="BD125" i="8" s="1"/>
  <c r="BC125" i="8" a="1"/>
  <c r="BC125" i="8" s="1"/>
  <c r="BB125" i="8" a="1"/>
  <c r="BB125" i="8" s="1"/>
  <c r="BA125" i="8" a="1"/>
  <c r="BA125" i="8" s="1"/>
  <c r="AZ125" i="8" a="1"/>
  <c r="AZ125" i="8" s="1"/>
  <c r="AY125" i="8" a="1"/>
  <c r="AY125" i="8" s="1"/>
  <c r="BF124" i="8" a="1"/>
  <c r="BF124" i="8" s="1"/>
  <c r="BE124" i="8" a="1"/>
  <c r="BE124" i="8" s="1"/>
  <c r="BD124" i="8" a="1"/>
  <c r="BD124" i="8" s="1"/>
  <c r="BC124" i="8" a="1"/>
  <c r="BC124" i="8" s="1"/>
  <c r="BB124" i="8" a="1"/>
  <c r="BB124" i="8" s="1"/>
  <c r="BA124" i="8" a="1"/>
  <c r="BA124" i="8" s="1"/>
  <c r="AZ124" i="8" a="1"/>
  <c r="AZ124" i="8" s="1"/>
  <c r="AY124" i="8" a="1"/>
  <c r="AY124" i="8" s="1"/>
  <c r="BF123" i="8" a="1"/>
  <c r="BF123" i="8" s="1"/>
  <c r="BE123" i="8" a="1"/>
  <c r="BE123" i="8" s="1"/>
  <c r="BD123" i="8" a="1"/>
  <c r="BD123" i="8" s="1"/>
  <c r="BC123" i="8" a="1"/>
  <c r="BC123" i="8" s="1"/>
  <c r="BB123" i="8" a="1"/>
  <c r="BB123" i="8" s="1"/>
  <c r="BA123" i="8" a="1"/>
  <c r="BA123" i="8" s="1"/>
  <c r="AZ123" i="8" a="1"/>
  <c r="AZ123" i="8" s="1"/>
  <c r="AY123" i="8" a="1"/>
  <c r="AY123" i="8" s="1"/>
  <c r="BF122" i="8" a="1"/>
  <c r="BF122" i="8" s="1"/>
  <c r="BE122" i="8" a="1"/>
  <c r="BE122" i="8" s="1"/>
  <c r="BD122" i="8" a="1"/>
  <c r="BD122" i="8" s="1"/>
  <c r="BC122" i="8" a="1"/>
  <c r="BC122" i="8" s="1"/>
  <c r="BB122" i="8" a="1"/>
  <c r="BB122" i="8" s="1"/>
  <c r="BA122" i="8" a="1"/>
  <c r="BA122" i="8" s="1"/>
  <c r="AZ122" i="8" a="1"/>
  <c r="AZ122" i="8" s="1"/>
  <c r="AY122" i="8" a="1"/>
  <c r="AY122" i="8" s="1"/>
  <c r="BF121" i="8" a="1"/>
  <c r="BF121" i="8" s="1"/>
  <c r="BE121" i="8" a="1"/>
  <c r="BE121" i="8" s="1"/>
  <c r="BD121" i="8" a="1"/>
  <c r="BD121" i="8" s="1"/>
  <c r="BC121" i="8" a="1"/>
  <c r="BC121" i="8" s="1"/>
  <c r="BB121" i="8" a="1"/>
  <c r="BB121" i="8" s="1"/>
  <c r="BA121" i="8" a="1"/>
  <c r="BA121" i="8" s="1"/>
  <c r="AZ121" i="8" a="1"/>
  <c r="AZ121" i="8" s="1"/>
  <c r="AY121" i="8" a="1"/>
  <c r="AY121" i="8" s="1"/>
  <c r="BF120" i="8" a="1"/>
  <c r="BF120" i="8" s="1"/>
  <c r="BE120" i="8" a="1"/>
  <c r="BE120" i="8" s="1"/>
  <c r="BD120" i="8" a="1"/>
  <c r="BD120" i="8" s="1"/>
  <c r="BC120" i="8" a="1"/>
  <c r="BC120" i="8" s="1"/>
  <c r="BB120" i="8" a="1"/>
  <c r="BB120" i="8" s="1"/>
  <c r="BA120" i="8" a="1"/>
  <c r="BA120" i="8" s="1"/>
  <c r="AZ120" i="8" a="1"/>
  <c r="AZ120" i="8" s="1"/>
  <c r="AY120" i="8" a="1"/>
  <c r="AY120" i="8" s="1"/>
  <c r="BF119" i="8" a="1"/>
  <c r="BF119" i="8" s="1"/>
  <c r="BE119" i="8" a="1"/>
  <c r="BE119" i="8" s="1"/>
  <c r="BD119" i="8" a="1"/>
  <c r="BD119" i="8" s="1"/>
  <c r="BC119" i="8" a="1"/>
  <c r="BC119" i="8" s="1"/>
  <c r="BB119" i="8" a="1"/>
  <c r="BB119" i="8" s="1"/>
  <c r="BA119" i="8" a="1"/>
  <c r="BA119" i="8" s="1"/>
  <c r="AZ119" i="8" a="1"/>
  <c r="AZ119" i="8" s="1"/>
  <c r="AY119" i="8" a="1"/>
  <c r="AY119" i="8" s="1"/>
  <c r="BF118" i="8" a="1"/>
  <c r="BF118" i="8" s="1"/>
  <c r="BE118" i="8" a="1"/>
  <c r="BE118" i="8" s="1"/>
  <c r="BD118" i="8" a="1"/>
  <c r="BD118" i="8" s="1"/>
  <c r="BC118" i="8" a="1"/>
  <c r="BC118" i="8" s="1"/>
  <c r="BB118" i="8" a="1"/>
  <c r="BB118" i="8" s="1"/>
  <c r="BA118" i="8" a="1"/>
  <c r="BA118" i="8" s="1"/>
  <c r="AZ118" i="8" a="1"/>
  <c r="AZ118" i="8" s="1"/>
  <c r="AY118" i="8" a="1"/>
  <c r="AY118" i="8" s="1"/>
  <c r="BF117" i="8" a="1"/>
  <c r="BF117" i="8" s="1"/>
  <c r="BE117" i="8" a="1"/>
  <c r="BE117" i="8" s="1"/>
  <c r="BD117" i="8" a="1"/>
  <c r="BD117" i="8" s="1"/>
  <c r="BC117" i="8" a="1"/>
  <c r="BC117" i="8" s="1"/>
  <c r="BB117" i="8" a="1"/>
  <c r="BB117" i="8" s="1"/>
  <c r="BA117" i="8" a="1"/>
  <c r="BA117" i="8" s="1"/>
  <c r="AZ117" i="8" a="1"/>
  <c r="AZ117" i="8" s="1"/>
  <c r="AY117" i="8" a="1"/>
  <c r="AY117" i="8" s="1"/>
  <c r="BF116" i="8" a="1"/>
  <c r="BF116" i="8" s="1"/>
  <c r="BE116" i="8" a="1"/>
  <c r="BE116" i="8" s="1"/>
  <c r="BD116" i="8" a="1"/>
  <c r="BD116" i="8" s="1"/>
  <c r="BC116" i="8" a="1"/>
  <c r="BC116" i="8" s="1"/>
  <c r="BB116" i="8" a="1"/>
  <c r="BB116" i="8" s="1"/>
  <c r="BA116" i="8" a="1"/>
  <c r="BA116" i="8" s="1"/>
  <c r="AZ116" i="8" a="1"/>
  <c r="AZ116" i="8" s="1"/>
  <c r="AY116" i="8" a="1"/>
  <c r="AY116" i="8" s="1"/>
  <c r="BF115" i="8" a="1"/>
  <c r="BF115" i="8" s="1"/>
  <c r="BE115" i="8" a="1"/>
  <c r="BE115" i="8" s="1"/>
  <c r="BD115" i="8" a="1"/>
  <c r="BD115" i="8" s="1"/>
  <c r="BC115" i="8" a="1"/>
  <c r="BC115" i="8" s="1"/>
  <c r="BB115" i="8" a="1"/>
  <c r="BB115" i="8" s="1"/>
  <c r="BA115" i="8" a="1"/>
  <c r="BA115" i="8" s="1"/>
  <c r="AZ115" i="8" a="1"/>
  <c r="AZ115" i="8" s="1"/>
  <c r="AY115" i="8" a="1"/>
  <c r="AY115" i="8" s="1"/>
  <c r="BF114" i="8" a="1"/>
  <c r="BF114" i="8" s="1"/>
  <c r="BE114" i="8" a="1"/>
  <c r="BE114" i="8" s="1"/>
  <c r="BD114" i="8" a="1"/>
  <c r="BD114" i="8" s="1"/>
  <c r="BC114" i="8" a="1"/>
  <c r="BC114" i="8" s="1"/>
  <c r="BB114" i="8" a="1"/>
  <c r="BB114" i="8" s="1"/>
  <c r="BA114" i="8" a="1"/>
  <c r="BA114" i="8" s="1"/>
  <c r="AZ114" i="8" a="1"/>
  <c r="AZ114" i="8" s="1"/>
  <c r="AY114" i="8" a="1"/>
  <c r="AY114" i="8" s="1"/>
  <c r="BF113" i="8" a="1"/>
  <c r="BF113" i="8" s="1"/>
  <c r="BE113" i="8" a="1"/>
  <c r="BE113" i="8" s="1"/>
  <c r="BD113" i="8" a="1"/>
  <c r="BD113" i="8" s="1"/>
  <c r="BC113" i="8" a="1"/>
  <c r="BC113" i="8" s="1"/>
  <c r="BB113" i="8" a="1"/>
  <c r="BB113" i="8" s="1"/>
  <c r="BA113" i="8" a="1"/>
  <c r="BA113" i="8" s="1"/>
  <c r="AZ113" i="8" a="1"/>
  <c r="AZ113" i="8" s="1"/>
  <c r="AY113" i="8" a="1"/>
  <c r="AY113" i="8" s="1"/>
  <c r="BF112" i="8" a="1"/>
  <c r="BF112" i="8" s="1"/>
  <c r="BE112" i="8" a="1"/>
  <c r="BE112" i="8" s="1"/>
  <c r="BD112" i="8" a="1"/>
  <c r="BD112" i="8" s="1"/>
  <c r="BC112" i="8" a="1"/>
  <c r="BC112" i="8" s="1"/>
  <c r="BB112" i="8" a="1"/>
  <c r="BB112" i="8" s="1"/>
  <c r="BA112" i="8" a="1"/>
  <c r="BA112" i="8" s="1"/>
  <c r="AZ112" i="8" a="1"/>
  <c r="AZ112" i="8" s="1"/>
  <c r="AY112" i="8" a="1"/>
  <c r="AY112" i="8" s="1"/>
  <c r="BF111" i="8" a="1"/>
  <c r="BF111" i="8" s="1"/>
  <c r="BE111" i="8" a="1"/>
  <c r="BE111" i="8" s="1"/>
  <c r="BD111" i="8" a="1"/>
  <c r="BD111" i="8" s="1"/>
  <c r="BC111" i="8" a="1"/>
  <c r="BC111" i="8" s="1"/>
  <c r="BB111" i="8" a="1"/>
  <c r="BB111" i="8" s="1"/>
  <c r="BA111" i="8" a="1"/>
  <c r="BA111" i="8" s="1"/>
  <c r="AZ111" i="8" a="1"/>
  <c r="AZ111" i="8" s="1"/>
  <c r="AY111" i="8" a="1"/>
  <c r="AY111" i="8" s="1"/>
  <c r="BF110" i="8" a="1"/>
  <c r="BF110" i="8" s="1"/>
  <c r="BE110" i="8" a="1"/>
  <c r="BE110" i="8" s="1"/>
  <c r="BD110" i="8" a="1"/>
  <c r="BD110" i="8" s="1"/>
  <c r="BC110" i="8" a="1"/>
  <c r="BC110" i="8" s="1"/>
  <c r="BB110" i="8" a="1"/>
  <c r="BB110" i="8" s="1"/>
  <c r="BA110" i="8" a="1"/>
  <c r="BA110" i="8" s="1"/>
  <c r="AZ110" i="8" a="1"/>
  <c r="AZ110" i="8" s="1"/>
  <c r="AY110" i="8" a="1"/>
  <c r="AY110" i="8" s="1"/>
  <c r="BF109" i="8" a="1"/>
  <c r="BF109" i="8" s="1"/>
  <c r="BE109" i="8" a="1"/>
  <c r="BE109" i="8" s="1"/>
  <c r="BD109" i="8" a="1"/>
  <c r="BD109" i="8" s="1"/>
  <c r="BC109" i="8" a="1"/>
  <c r="BC109" i="8" s="1"/>
  <c r="BB109" i="8" a="1"/>
  <c r="BB109" i="8" s="1"/>
  <c r="BA109" i="8" a="1"/>
  <c r="BA109" i="8" s="1"/>
  <c r="AZ109" i="8" a="1"/>
  <c r="AZ109" i="8" s="1"/>
  <c r="AY109" i="8" a="1"/>
  <c r="AY109" i="8" s="1"/>
  <c r="BF108" i="8" a="1"/>
  <c r="BF108" i="8" s="1"/>
  <c r="BE108" i="8" a="1"/>
  <c r="BE108" i="8" s="1"/>
  <c r="BD108" i="8" a="1"/>
  <c r="BD108" i="8" s="1"/>
  <c r="BC108" i="8" a="1"/>
  <c r="BC108" i="8" s="1"/>
  <c r="BB108" i="8" a="1"/>
  <c r="BB108" i="8" s="1"/>
  <c r="BA108" i="8" a="1"/>
  <c r="BA108" i="8" s="1"/>
  <c r="AZ108" i="8" a="1"/>
  <c r="AZ108" i="8" s="1"/>
  <c r="AY108" i="8" a="1"/>
  <c r="AY108" i="8" s="1"/>
  <c r="BF107" i="8" a="1"/>
  <c r="BF107" i="8" s="1"/>
  <c r="BE107" i="8" a="1"/>
  <c r="BE107" i="8" s="1"/>
  <c r="BD107" i="8" a="1"/>
  <c r="BD107" i="8" s="1"/>
  <c r="BC107" i="8" a="1"/>
  <c r="BC107" i="8" s="1"/>
  <c r="BB107" i="8" a="1"/>
  <c r="BB107" i="8" s="1"/>
  <c r="BA107" i="8" a="1"/>
  <c r="BA107" i="8" s="1"/>
  <c r="AZ107" i="8" a="1"/>
  <c r="AZ107" i="8" s="1"/>
  <c r="AY107" i="8" a="1"/>
  <c r="AY107" i="8" s="1"/>
  <c r="BF106" i="8" a="1"/>
  <c r="BF106" i="8" s="1"/>
  <c r="BE106" i="8" a="1"/>
  <c r="BE106" i="8" s="1"/>
  <c r="BD106" i="8"/>
  <c r="BD106" i="8" a="1"/>
  <c r="BC106" i="8" a="1"/>
  <c r="BC106" i="8" s="1"/>
  <c r="BB106" i="8" a="1"/>
  <c r="BB106" i="8" s="1"/>
  <c r="BA106" i="8" a="1"/>
  <c r="BA106" i="8" s="1"/>
  <c r="AZ106" i="8" a="1"/>
  <c r="AZ106" i="8" s="1"/>
  <c r="AY106" i="8" a="1"/>
  <c r="AY106" i="8" s="1"/>
  <c r="BF105" i="8" a="1"/>
  <c r="BF105" i="8" s="1"/>
  <c r="BE105" i="8"/>
  <c r="BE105" i="8" a="1"/>
  <c r="BD105" i="8" a="1"/>
  <c r="BD105" i="8" s="1"/>
  <c r="BC105" i="8" a="1"/>
  <c r="BC105" i="8" s="1"/>
  <c r="BB105" i="8" a="1"/>
  <c r="BB105" i="8" s="1"/>
  <c r="BA105" i="8" a="1"/>
  <c r="BA105" i="8" s="1"/>
  <c r="AZ105" i="8" a="1"/>
  <c r="AZ105" i="8" s="1"/>
  <c r="AY105" i="8" a="1"/>
  <c r="AY105" i="8" s="1"/>
  <c r="BF104" i="8" a="1"/>
  <c r="BF104" i="8" s="1"/>
  <c r="BE104" i="8" a="1"/>
  <c r="BE104" i="8" s="1"/>
  <c r="BD104" i="8" a="1"/>
  <c r="BD104" i="8" s="1"/>
  <c r="BC104" i="8" a="1"/>
  <c r="BC104" i="8" s="1"/>
  <c r="BB104" i="8" a="1"/>
  <c r="BB104" i="8" s="1"/>
  <c r="BA104" i="8" a="1"/>
  <c r="BA104" i="8" s="1"/>
  <c r="AZ104" i="8" a="1"/>
  <c r="AZ104" i="8" s="1"/>
  <c r="AY104" i="8" a="1"/>
  <c r="AY104" i="8" s="1"/>
  <c r="BF103" i="8" a="1"/>
  <c r="BF103" i="8" s="1"/>
  <c r="BE103" i="8" a="1"/>
  <c r="BE103" i="8" s="1"/>
  <c r="BD103" i="8" a="1"/>
  <c r="BD103" i="8" s="1"/>
  <c r="BC103" i="8" a="1"/>
  <c r="BC103" i="8" s="1"/>
  <c r="BB103" i="8" a="1"/>
  <c r="BB103" i="8" s="1"/>
  <c r="BA103" i="8"/>
  <c r="BA103" i="8" a="1"/>
  <c r="AZ103" i="8"/>
  <c r="AZ103" i="8" a="1"/>
  <c r="AY103" i="8" a="1"/>
  <c r="AY103" i="8" s="1"/>
  <c r="BF102" i="8" a="1"/>
  <c r="BF102" i="8" s="1"/>
  <c r="BE102" i="8" a="1"/>
  <c r="BE102" i="8" s="1"/>
  <c r="BD102" i="8" a="1"/>
  <c r="BD102" i="8" s="1"/>
  <c r="BC102" i="8" a="1"/>
  <c r="BC102" i="8" s="1"/>
  <c r="BB102" i="8" a="1"/>
  <c r="BB102" i="8" s="1"/>
  <c r="BA102" i="8"/>
  <c r="BA102" i="8" a="1"/>
  <c r="AZ102" i="8" a="1"/>
  <c r="AZ102" i="8" s="1"/>
  <c r="AY102" i="8" a="1"/>
  <c r="AY102" i="8" s="1"/>
  <c r="BF101" i="8" a="1"/>
  <c r="BF101" i="8" s="1"/>
  <c r="BE101" i="8" a="1"/>
  <c r="BE101" i="8" s="1"/>
  <c r="BD101" i="8" a="1"/>
  <c r="BD101" i="8" s="1"/>
  <c r="BC101" i="8" a="1"/>
  <c r="BC101" i="8" s="1"/>
  <c r="BB101" i="8" a="1"/>
  <c r="BB101" i="8" s="1"/>
  <c r="BA101" i="8" a="1"/>
  <c r="BA101" i="8" s="1"/>
  <c r="AZ101" i="8" a="1"/>
  <c r="AZ101" i="8" s="1"/>
  <c r="AY101" i="8" a="1"/>
  <c r="AY101" i="8" s="1"/>
  <c r="BF100" i="8" a="1"/>
  <c r="BF100" i="8" s="1"/>
  <c r="BE100" i="8" a="1"/>
  <c r="BE100" i="8" s="1"/>
  <c r="BD100" i="8" a="1"/>
  <c r="BD100" i="8" s="1"/>
  <c r="BC100" i="8" a="1"/>
  <c r="BC100" i="8" s="1"/>
  <c r="BB100" i="8" a="1"/>
  <c r="BB100" i="8" s="1"/>
  <c r="BA100" i="8" a="1"/>
  <c r="BA100" i="8" s="1"/>
  <c r="AZ100" i="8" a="1"/>
  <c r="AZ100" i="8" s="1"/>
  <c r="AY100" i="8" a="1"/>
  <c r="AY100" i="8" s="1"/>
  <c r="BF99" i="8" a="1"/>
  <c r="BF99" i="8" s="1"/>
  <c r="BE99" i="8" a="1"/>
  <c r="BE99" i="8" s="1"/>
  <c r="BD99" i="8" a="1"/>
  <c r="BD99" i="8" s="1"/>
  <c r="BC99" i="8" a="1"/>
  <c r="BC99" i="8" s="1"/>
  <c r="BB99" i="8" a="1"/>
  <c r="BB99" i="8" s="1"/>
  <c r="BA99" i="8" a="1"/>
  <c r="BA99" i="8" s="1"/>
  <c r="AZ99" i="8" a="1"/>
  <c r="AZ99" i="8" s="1"/>
  <c r="AY99" i="8" a="1"/>
  <c r="AY99" i="8" s="1"/>
  <c r="BF98" i="8" a="1"/>
  <c r="BF98" i="8" s="1"/>
  <c r="BE98" i="8" a="1"/>
  <c r="BE98" i="8" s="1"/>
  <c r="BD98" i="8" a="1"/>
  <c r="BD98" i="8" s="1"/>
  <c r="BC98" i="8" a="1"/>
  <c r="BC98" i="8" s="1"/>
  <c r="BB98" i="8" a="1"/>
  <c r="BB98" i="8" s="1"/>
  <c r="BA98" i="8" a="1"/>
  <c r="BA98" i="8" s="1"/>
  <c r="AZ98" i="8" a="1"/>
  <c r="AZ98" i="8" s="1"/>
  <c r="AY98" i="8" a="1"/>
  <c r="AY98" i="8" s="1"/>
  <c r="BF97" i="8" a="1"/>
  <c r="BF97" i="8" s="1"/>
  <c r="BE97" i="8" a="1"/>
  <c r="BE97" i="8" s="1"/>
  <c r="BD97" i="8" a="1"/>
  <c r="BD97" i="8" s="1"/>
  <c r="BC97" i="8" a="1"/>
  <c r="BC97" i="8" s="1"/>
  <c r="BB97" i="8" a="1"/>
  <c r="BB97" i="8" s="1"/>
  <c r="BA97" i="8" a="1"/>
  <c r="BA97" i="8" s="1"/>
  <c r="AZ97" i="8" a="1"/>
  <c r="AZ97" i="8" s="1"/>
  <c r="AY97" i="8" a="1"/>
  <c r="AY97" i="8" s="1"/>
  <c r="BF96" i="8" a="1"/>
  <c r="BF96" i="8" s="1"/>
  <c r="BE96" i="8" a="1"/>
  <c r="BE96" i="8" s="1"/>
  <c r="BD96" i="8" a="1"/>
  <c r="BD96" i="8" s="1"/>
  <c r="BC96" i="8" a="1"/>
  <c r="BC96" i="8" s="1"/>
  <c r="BB96" i="8" a="1"/>
  <c r="BB96" i="8" s="1"/>
  <c r="BA96" i="8" a="1"/>
  <c r="BA96" i="8" s="1"/>
  <c r="AZ96" i="8"/>
  <c r="AZ96" i="8" a="1"/>
  <c r="AY96" i="8" a="1"/>
  <c r="AY96" i="8" s="1"/>
  <c r="BF95" i="8" a="1"/>
  <c r="BF95" i="8" s="1"/>
  <c r="BE95" i="8" a="1"/>
  <c r="BE95" i="8" s="1"/>
  <c r="BD95" i="8" a="1"/>
  <c r="BD95" i="8" s="1"/>
  <c r="BC95" i="8" a="1"/>
  <c r="BC95" i="8" s="1"/>
  <c r="BB95" i="8" a="1"/>
  <c r="BB95" i="8" s="1"/>
  <c r="BA95" i="8" a="1"/>
  <c r="BA95" i="8" s="1"/>
  <c r="AZ95" i="8" a="1"/>
  <c r="AZ95" i="8" s="1"/>
  <c r="AY95" i="8" a="1"/>
  <c r="AY95" i="8" s="1"/>
  <c r="BF94" i="8" a="1"/>
  <c r="BF94" i="8" s="1"/>
  <c r="BE94" i="8" a="1"/>
  <c r="BE94" i="8" s="1"/>
  <c r="BD94" i="8" a="1"/>
  <c r="BD94" i="8" s="1"/>
  <c r="BC94" i="8" a="1"/>
  <c r="BC94" i="8" s="1"/>
  <c r="BB94" i="8" a="1"/>
  <c r="BB94" i="8" s="1"/>
  <c r="BA94" i="8" a="1"/>
  <c r="BA94" i="8" s="1"/>
  <c r="AZ94" i="8" a="1"/>
  <c r="AZ94" i="8" s="1"/>
  <c r="AY94" i="8" a="1"/>
  <c r="AY94" i="8" s="1"/>
  <c r="BF93" i="8" a="1"/>
  <c r="BF93" i="8" s="1"/>
  <c r="BE93" i="8" a="1"/>
  <c r="BE93" i="8" s="1"/>
  <c r="BD93" i="8" a="1"/>
  <c r="BD93" i="8" s="1"/>
  <c r="BC93" i="8" a="1"/>
  <c r="BC93" i="8" s="1"/>
  <c r="BB93" i="8" a="1"/>
  <c r="BB93" i="8" s="1"/>
  <c r="BA93" i="8" a="1"/>
  <c r="BA93" i="8" s="1"/>
  <c r="AZ93" i="8" a="1"/>
  <c r="AZ93" i="8" s="1"/>
  <c r="AY93" i="8" a="1"/>
  <c r="AY93" i="8" s="1"/>
  <c r="BF92" i="8" a="1"/>
  <c r="BF92" i="8" s="1"/>
  <c r="BE92" i="8" a="1"/>
  <c r="BE92" i="8" s="1"/>
  <c r="BD92" i="8" a="1"/>
  <c r="BD92" i="8" s="1"/>
  <c r="BC92" i="8" a="1"/>
  <c r="BC92" i="8" s="1"/>
  <c r="BB92" i="8" a="1"/>
  <c r="BB92" i="8" s="1"/>
  <c r="BA92" i="8" a="1"/>
  <c r="BA92" i="8" s="1"/>
  <c r="AZ92" i="8" a="1"/>
  <c r="AZ92" i="8" s="1"/>
  <c r="AY92" i="8" a="1"/>
  <c r="AY92" i="8" s="1"/>
  <c r="BF91" i="8" a="1"/>
  <c r="BF91" i="8" s="1"/>
  <c r="BE91" i="8" a="1"/>
  <c r="BE91" i="8" s="1"/>
  <c r="BD91" i="8" a="1"/>
  <c r="BD91" i="8" s="1"/>
  <c r="BC91" i="8" a="1"/>
  <c r="BC91" i="8" s="1"/>
  <c r="BB91" i="8" a="1"/>
  <c r="BB91" i="8" s="1"/>
  <c r="BA91" i="8" a="1"/>
  <c r="BA91" i="8" s="1"/>
  <c r="AZ91" i="8" a="1"/>
  <c r="AZ91" i="8" s="1"/>
  <c r="AY91" i="8" a="1"/>
  <c r="AY91" i="8" s="1"/>
  <c r="BF90" i="8" a="1"/>
  <c r="BF90" i="8" s="1"/>
  <c r="BE90" i="8"/>
  <c r="BE90" i="8" a="1"/>
  <c r="BD90" i="8" a="1"/>
  <c r="BD90" i="8" s="1"/>
  <c r="BC90" i="8" a="1"/>
  <c r="BC90" i="8" s="1"/>
  <c r="BB90" i="8" a="1"/>
  <c r="BB90" i="8" s="1"/>
  <c r="BA90" i="8" a="1"/>
  <c r="BA90" i="8" s="1"/>
  <c r="AZ90" i="8" a="1"/>
  <c r="AZ90" i="8" s="1"/>
  <c r="AY90" i="8" a="1"/>
  <c r="AY90" i="8" s="1"/>
  <c r="BF89" i="8" a="1"/>
  <c r="BF89" i="8" s="1"/>
  <c r="BE89" i="8" a="1"/>
  <c r="BE89" i="8" s="1"/>
  <c r="BD89" i="8" a="1"/>
  <c r="BD89" i="8" s="1"/>
  <c r="BC89" i="8" a="1"/>
  <c r="BC89" i="8" s="1"/>
  <c r="BB89" i="8" a="1"/>
  <c r="BB89" i="8" s="1"/>
  <c r="BA89" i="8" a="1"/>
  <c r="BA89" i="8" s="1"/>
  <c r="AZ89" i="8" a="1"/>
  <c r="AZ89" i="8" s="1"/>
  <c r="AY89" i="8"/>
  <c r="AY89" i="8" a="1"/>
  <c r="BF88" i="8" a="1"/>
  <c r="BF88" i="8" s="1"/>
  <c r="BE88" i="8" a="1"/>
  <c r="BE88" i="8" s="1"/>
  <c r="BD88" i="8" a="1"/>
  <c r="BD88" i="8" s="1"/>
  <c r="BC88" i="8" a="1"/>
  <c r="BC88" i="8" s="1"/>
  <c r="BB88" i="8" a="1"/>
  <c r="BB88" i="8" s="1"/>
  <c r="BA88" i="8" a="1"/>
  <c r="BA88" i="8" s="1"/>
  <c r="AZ88" i="8" a="1"/>
  <c r="AZ88" i="8" s="1"/>
  <c r="AY88" i="8" a="1"/>
  <c r="AY88" i="8" s="1"/>
  <c r="BF87" i="8" a="1"/>
  <c r="BF87" i="8" s="1"/>
  <c r="BE87" i="8" a="1"/>
  <c r="BE87" i="8" s="1"/>
  <c r="BD87" i="8" a="1"/>
  <c r="BD87" i="8" s="1"/>
  <c r="BC87" i="8" a="1"/>
  <c r="BC87" i="8" s="1"/>
  <c r="BB87" i="8" a="1"/>
  <c r="BB87" i="8" s="1"/>
  <c r="BA87" i="8" a="1"/>
  <c r="BA87" i="8" s="1"/>
  <c r="AZ87" i="8"/>
  <c r="AZ87" i="8" a="1"/>
  <c r="AY87" i="8" a="1"/>
  <c r="AY87" i="8" s="1"/>
  <c r="BF86" i="8" a="1"/>
  <c r="BF86" i="8" s="1"/>
  <c r="BE86" i="8" a="1"/>
  <c r="BE86" i="8" s="1"/>
  <c r="BD86" i="8" a="1"/>
  <c r="BD86" i="8" s="1"/>
  <c r="BC86" i="8" a="1"/>
  <c r="BC86" i="8" s="1"/>
  <c r="BB86" i="8" a="1"/>
  <c r="BB86" i="8" s="1"/>
  <c r="BA86" i="8" a="1"/>
  <c r="BA86" i="8" s="1"/>
  <c r="AZ86" i="8" a="1"/>
  <c r="AZ86" i="8" s="1"/>
  <c r="AY86" i="8" a="1"/>
  <c r="AY86" i="8" s="1"/>
  <c r="BF85" i="8" a="1"/>
  <c r="BF85" i="8" s="1"/>
  <c r="BE85" i="8" a="1"/>
  <c r="BE85" i="8" s="1"/>
  <c r="BD85" i="8" a="1"/>
  <c r="BD85" i="8" s="1"/>
  <c r="BC85" i="8" a="1"/>
  <c r="BC85" i="8" s="1"/>
  <c r="BB85" i="8" a="1"/>
  <c r="BB85" i="8" s="1"/>
  <c r="BA85" i="8" a="1"/>
  <c r="BA85" i="8" s="1"/>
  <c r="AZ85" i="8" a="1"/>
  <c r="AZ85" i="8" s="1"/>
  <c r="AY85" i="8" a="1"/>
  <c r="AY85" i="8" s="1"/>
  <c r="BF84" i="8" a="1"/>
  <c r="BF84" i="8" s="1"/>
  <c r="BE84" i="8" a="1"/>
  <c r="BE84" i="8" s="1"/>
  <c r="BD84" i="8" a="1"/>
  <c r="BD84" i="8" s="1"/>
  <c r="BC84" i="8" a="1"/>
  <c r="BC84" i="8" s="1"/>
  <c r="BB84" i="8" a="1"/>
  <c r="BB84" i="8" s="1"/>
  <c r="BA84" i="8" a="1"/>
  <c r="BA84" i="8" s="1"/>
  <c r="AZ84" i="8" a="1"/>
  <c r="AZ84" i="8" s="1"/>
  <c r="AY84" i="8" a="1"/>
  <c r="AY84" i="8" s="1"/>
  <c r="BF83" i="8" a="1"/>
  <c r="BF83" i="8" s="1"/>
  <c r="BE83" i="8" a="1"/>
  <c r="BE83" i="8" s="1"/>
  <c r="BD83" i="8" a="1"/>
  <c r="BD83" i="8" s="1"/>
  <c r="BC83" i="8" a="1"/>
  <c r="BC83" i="8" s="1"/>
  <c r="BB83" i="8"/>
  <c r="BB83" i="8" a="1"/>
  <c r="BA83" i="8" a="1"/>
  <c r="BA83" i="8" s="1"/>
  <c r="AZ83" i="8" a="1"/>
  <c r="AZ83" i="8" s="1"/>
  <c r="AY83" i="8" a="1"/>
  <c r="AY83" i="8" s="1"/>
  <c r="BF82" i="8" a="1"/>
  <c r="BF82" i="8" s="1"/>
  <c r="BE82" i="8" a="1"/>
  <c r="BE82" i="8" s="1"/>
  <c r="BD82" i="8" a="1"/>
  <c r="BD82" i="8" s="1"/>
  <c r="BC82" i="8" a="1"/>
  <c r="BC82" i="8" s="1"/>
  <c r="BB82" i="8" a="1"/>
  <c r="BB82" i="8" s="1"/>
  <c r="BA82" i="8" a="1"/>
  <c r="BA82" i="8" s="1"/>
  <c r="AZ82" i="8" a="1"/>
  <c r="AZ82" i="8" s="1"/>
  <c r="AY82" i="8" a="1"/>
  <c r="AY82" i="8" s="1"/>
  <c r="BF81" i="8" a="1"/>
  <c r="BF81" i="8" s="1"/>
  <c r="BE81" i="8" a="1"/>
  <c r="BE81" i="8" s="1"/>
  <c r="BD81" i="8" a="1"/>
  <c r="BD81" i="8" s="1"/>
  <c r="BC81" i="8" a="1"/>
  <c r="BC81" i="8" s="1"/>
  <c r="BB81" i="8" a="1"/>
  <c r="BB81" i="8" s="1"/>
  <c r="BA81" i="8" a="1"/>
  <c r="BA81" i="8" s="1"/>
  <c r="AZ81" i="8" a="1"/>
  <c r="AZ81" i="8" s="1"/>
  <c r="AY81" i="8" a="1"/>
  <c r="AY81" i="8" s="1"/>
  <c r="BF80" i="8" a="1"/>
  <c r="BF80" i="8" s="1"/>
  <c r="BE80" i="8" a="1"/>
  <c r="BE80" i="8" s="1"/>
  <c r="BD80" i="8" a="1"/>
  <c r="BD80" i="8" s="1"/>
  <c r="BC80" i="8" a="1"/>
  <c r="BC80" i="8" s="1"/>
  <c r="BB80" i="8" a="1"/>
  <c r="BB80" i="8" s="1"/>
  <c r="BA80" i="8" a="1"/>
  <c r="BA80" i="8" s="1"/>
  <c r="AZ80" i="8" a="1"/>
  <c r="AZ80" i="8" s="1"/>
  <c r="AY80" i="8" a="1"/>
  <c r="AY80" i="8" s="1"/>
  <c r="BF79" i="8" a="1"/>
  <c r="BF79" i="8" s="1"/>
  <c r="BE79" i="8" a="1"/>
  <c r="BE79" i="8" s="1"/>
  <c r="BD79" i="8" a="1"/>
  <c r="BD79" i="8" s="1"/>
  <c r="BC79" i="8" a="1"/>
  <c r="BC79" i="8" s="1"/>
  <c r="BB79" i="8" a="1"/>
  <c r="BB79" i="8" s="1"/>
  <c r="BA79" i="8" a="1"/>
  <c r="BA79" i="8" s="1"/>
  <c r="AZ79" i="8" a="1"/>
  <c r="AZ79" i="8" s="1"/>
  <c r="AY79" i="8" a="1"/>
  <c r="AY79" i="8" s="1"/>
  <c r="BF78" i="8" a="1"/>
  <c r="BF78" i="8" s="1"/>
  <c r="BE78" i="8" a="1"/>
  <c r="BE78" i="8" s="1"/>
  <c r="BD78" i="8" a="1"/>
  <c r="BD78" i="8" s="1"/>
  <c r="BC78" i="8" a="1"/>
  <c r="BC78" i="8" s="1"/>
  <c r="BB78" i="8" a="1"/>
  <c r="BB78" i="8" s="1"/>
  <c r="BA78" i="8" a="1"/>
  <c r="BA78" i="8" s="1"/>
  <c r="AZ78" i="8" a="1"/>
  <c r="AZ78" i="8" s="1"/>
  <c r="AY78" i="8" a="1"/>
  <c r="AY78" i="8" s="1"/>
  <c r="BF77" i="8" a="1"/>
  <c r="BF77" i="8" s="1"/>
  <c r="BE77" i="8" a="1"/>
  <c r="BE77" i="8" s="1"/>
  <c r="BD77" i="8" a="1"/>
  <c r="BD77" i="8" s="1"/>
  <c r="BC77" i="8" a="1"/>
  <c r="BC77" i="8" s="1"/>
  <c r="BB77" i="8" a="1"/>
  <c r="BB77" i="8" s="1"/>
  <c r="BA77" i="8" a="1"/>
  <c r="BA77" i="8" s="1"/>
  <c r="AZ77" i="8" a="1"/>
  <c r="AZ77" i="8" s="1"/>
  <c r="AY77" i="8" a="1"/>
  <c r="AY77" i="8" s="1"/>
  <c r="BF76" i="8" a="1"/>
  <c r="BF76" i="8" s="1"/>
  <c r="BE76" i="8" a="1"/>
  <c r="BE76" i="8" s="1"/>
  <c r="BD76" i="8" a="1"/>
  <c r="BD76" i="8" s="1"/>
  <c r="BC76" i="8" a="1"/>
  <c r="BC76" i="8" s="1"/>
  <c r="BB76" i="8" a="1"/>
  <c r="BB76" i="8" s="1"/>
  <c r="BA76" i="8" a="1"/>
  <c r="BA76" i="8" s="1"/>
  <c r="AZ76" i="8" a="1"/>
  <c r="AZ76" i="8" s="1"/>
  <c r="AY76" i="8" a="1"/>
  <c r="AY76" i="8" s="1"/>
  <c r="BF75" i="8" a="1"/>
  <c r="BF75" i="8" s="1"/>
  <c r="BE75" i="8"/>
  <c r="BE75" i="8" a="1"/>
  <c r="BD75" i="8" a="1"/>
  <c r="BD75" i="8" s="1"/>
  <c r="BC75" i="8" a="1"/>
  <c r="BC75" i="8" s="1"/>
  <c r="BB75" i="8" a="1"/>
  <c r="BB75" i="8" s="1"/>
  <c r="BA75" i="8" a="1"/>
  <c r="BA75" i="8" s="1"/>
  <c r="AZ75" i="8" a="1"/>
  <c r="AZ75" i="8" s="1"/>
  <c r="AY75" i="8" a="1"/>
  <c r="AY75" i="8" s="1"/>
  <c r="BF74" i="8" a="1"/>
  <c r="BF74" i="8" s="1"/>
  <c r="BE74" i="8" a="1"/>
  <c r="BE74" i="8" s="1"/>
  <c r="BD74" i="8" a="1"/>
  <c r="BD74" i="8" s="1"/>
  <c r="BC74" i="8" a="1"/>
  <c r="BC74" i="8" s="1"/>
  <c r="BB74" i="8" a="1"/>
  <c r="BB74" i="8" s="1"/>
  <c r="BA74" i="8" a="1"/>
  <c r="BA74" i="8" s="1"/>
  <c r="AZ74" i="8" a="1"/>
  <c r="AZ74" i="8" s="1"/>
  <c r="AY74" i="8"/>
  <c r="AY74" i="8" a="1"/>
  <c r="BF73" i="8" a="1"/>
  <c r="BF73" i="8" s="1"/>
  <c r="BE73" i="8" a="1"/>
  <c r="BE73" i="8" s="1"/>
  <c r="BD73" i="8" a="1"/>
  <c r="BD73" i="8" s="1"/>
  <c r="BC73" i="8" a="1"/>
  <c r="BC73" i="8" s="1"/>
  <c r="BB73" i="8" a="1"/>
  <c r="BB73" i="8" s="1"/>
  <c r="BA73" i="8" a="1"/>
  <c r="BA73" i="8" s="1"/>
  <c r="AZ73" i="8" a="1"/>
  <c r="AZ73" i="8" s="1"/>
  <c r="AY73" i="8" a="1"/>
  <c r="AY73" i="8" s="1"/>
  <c r="BF72" i="8" a="1"/>
  <c r="BF72" i="8" s="1"/>
  <c r="BE72" i="8" a="1"/>
  <c r="BE72" i="8" s="1"/>
  <c r="BD72" i="8" a="1"/>
  <c r="BD72" i="8" s="1"/>
  <c r="BC72" i="8" a="1"/>
  <c r="BC72" i="8" s="1"/>
  <c r="BB72" i="8" a="1"/>
  <c r="BB72" i="8" s="1"/>
  <c r="BA72" i="8" a="1"/>
  <c r="BA72" i="8" s="1"/>
  <c r="AZ72" i="8" a="1"/>
  <c r="AZ72" i="8" s="1"/>
  <c r="AY72" i="8" a="1"/>
  <c r="AY72" i="8" s="1"/>
  <c r="BF71" i="8" a="1"/>
  <c r="BF71" i="8" s="1"/>
  <c r="BE71" i="8" a="1"/>
  <c r="BE71" i="8" s="1"/>
  <c r="BD71" i="8" a="1"/>
  <c r="BD71" i="8" s="1"/>
  <c r="BC71" i="8" a="1"/>
  <c r="BC71" i="8" s="1"/>
  <c r="BB71" i="8" a="1"/>
  <c r="BB71" i="8" s="1"/>
  <c r="BA71" i="8"/>
  <c r="BA71" i="8" a="1"/>
  <c r="AZ71" i="8" a="1"/>
  <c r="AZ71" i="8" s="1"/>
  <c r="AY71" i="8" a="1"/>
  <c r="AY71" i="8" s="1"/>
  <c r="BF70" i="8" a="1"/>
  <c r="BF70" i="8" s="1"/>
  <c r="BE70" i="8" a="1"/>
  <c r="BE70" i="8" s="1"/>
  <c r="BD70" i="8" a="1"/>
  <c r="BD70" i="8" s="1"/>
  <c r="BC70" i="8" a="1"/>
  <c r="BC70" i="8" s="1"/>
  <c r="BB70" i="8" a="1"/>
  <c r="BB70" i="8" s="1"/>
  <c r="BA70" i="8" a="1"/>
  <c r="BA70" i="8" s="1"/>
  <c r="AZ70" i="8" a="1"/>
  <c r="AZ70" i="8" s="1"/>
  <c r="AY70" i="8" a="1"/>
  <c r="AY70" i="8" s="1"/>
  <c r="BF69" i="8" a="1"/>
  <c r="BF69" i="8" s="1"/>
  <c r="BE69" i="8" a="1"/>
  <c r="BE69" i="8" s="1"/>
  <c r="BD69" i="8" a="1"/>
  <c r="BD69" i="8" s="1"/>
  <c r="BC69" i="8" a="1"/>
  <c r="BC69" i="8" s="1"/>
  <c r="BB69" i="8" a="1"/>
  <c r="BB69" i="8" s="1"/>
  <c r="BA69" i="8" a="1"/>
  <c r="BA69" i="8" s="1"/>
  <c r="AZ69" i="8" a="1"/>
  <c r="AZ69" i="8" s="1"/>
  <c r="AY69" i="8" a="1"/>
  <c r="AY69" i="8" s="1"/>
  <c r="BF68" i="8" a="1"/>
  <c r="BF68" i="8" s="1"/>
  <c r="BE68" i="8" a="1"/>
  <c r="BE68" i="8" s="1"/>
  <c r="BD68" i="8" a="1"/>
  <c r="BD68" i="8" s="1"/>
  <c r="BC68" i="8" a="1"/>
  <c r="BC68" i="8" s="1"/>
  <c r="BB68" i="8" a="1"/>
  <c r="BB68" i="8" s="1"/>
  <c r="BA68" i="8" a="1"/>
  <c r="BA68" i="8" s="1"/>
  <c r="AZ68" i="8" a="1"/>
  <c r="AZ68" i="8" s="1"/>
  <c r="AY68" i="8" a="1"/>
  <c r="AY68" i="8" s="1"/>
  <c r="BF67" i="8" a="1"/>
  <c r="BF67" i="8" s="1"/>
  <c r="BE67" i="8" a="1"/>
  <c r="BE67" i="8" s="1"/>
  <c r="BD67" i="8" a="1"/>
  <c r="BD67" i="8" s="1"/>
  <c r="BC67" i="8" a="1"/>
  <c r="BC67" i="8" s="1"/>
  <c r="BB67" i="8" a="1"/>
  <c r="BB67" i="8" s="1"/>
  <c r="BA67" i="8" a="1"/>
  <c r="BA67" i="8" s="1"/>
  <c r="AZ67" i="8" a="1"/>
  <c r="AZ67" i="8" s="1"/>
  <c r="AY67" i="8" a="1"/>
  <c r="AY67" i="8" s="1"/>
  <c r="BF66" i="8" a="1"/>
  <c r="BF66" i="8" s="1"/>
  <c r="BE66" i="8" a="1"/>
  <c r="BE66" i="8" s="1"/>
  <c r="BD66" i="8" a="1"/>
  <c r="BD66" i="8" s="1"/>
  <c r="BC66" i="8" a="1"/>
  <c r="BC66" i="8" s="1"/>
  <c r="BB66" i="8" a="1"/>
  <c r="BB66" i="8" s="1"/>
  <c r="BA66" i="8" a="1"/>
  <c r="BA66" i="8" s="1"/>
  <c r="AZ66" i="8" a="1"/>
  <c r="AZ66" i="8" s="1"/>
  <c r="AY66" i="8" a="1"/>
  <c r="AY66" i="8" s="1"/>
  <c r="BF65" i="8" a="1"/>
  <c r="BF65" i="8" s="1"/>
  <c r="BE65" i="8" a="1"/>
  <c r="BE65" i="8" s="1"/>
  <c r="BD65" i="8" a="1"/>
  <c r="BD65" i="8" s="1"/>
  <c r="BC65" i="8" a="1"/>
  <c r="BC65" i="8" s="1"/>
  <c r="BB65" i="8" a="1"/>
  <c r="BB65" i="8" s="1"/>
  <c r="BA65" i="8" a="1"/>
  <c r="BA65" i="8" s="1"/>
  <c r="AZ65" i="8" a="1"/>
  <c r="AZ65" i="8" s="1"/>
  <c r="AY65" i="8" a="1"/>
  <c r="AY65" i="8" s="1"/>
  <c r="BF64" i="8" a="1"/>
  <c r="BF64" i="8" s="1"/>
  <c r="BE64" i="8" a="1"/>
  <c r="BE64" i="8" s="1"/>
  <c r="BD64" i="8" a="1"/>
  <c r="BD64" i="8" s="1"/>
  <c r="BC64" i="8" a="1"/>
  <c r="BC64" i="8" s="1"/>
  <c r="BB64" i="8" a="1"/>
  <c r="BB64" i="8" s="1"/>
  <c r="BA64" i="8" a="1"/>
  <c r="BA64" i="8" s="1"/>
  <c r="AZ64" i="8" a="1"/>
  <c r="AZ64" i="8" s="1"/>
  <c r="AY64" i="8" a="1"/>
  <c r="AY64" i="8" s="1"/>
  <c r="BF63" i="8" a="1"/>
  <c r="BF63" i="8" s="1"/>
  <c r="BE63" i="8" a="1"/>
  <c r="BE63" i="8" s="1"/>
  <c r="BD63" i="8" a="1"/>
  <c r="BD63" i="8" s="1"/>
  <c r="BC63" i="8" a="1"/>
  <c r="BC63" i="8" s="1"/>
  <c r="BB63" i="8" a="1"/>
  <c r="BB63" i="8" s="1"/>
  <c r="BA63" i="8" a="1"/>
  <c r="BA63" i="8" s="1"/>
  <c r="AZ63" i="8" a="1"/>
  <c r="AZ63" i="8" s="1"/>
  <c r="AY63" i="8" a="1"/>
  <c r="AY63" i="8" s="1"/>
  <c r="BF62" i="8" a="1"/>
  <c r="BF62" i="8" s="1"/>
  <c r="BE62" i="8" a="1"/>
  <c r="BE62" i="8" s="1"/>
  <c r="BD62" i="8" a="1"/>
  <c r="BD62" i="8" s="1"/>
  <c r="BC62" i="8" a="1"/>
  <c r="BC62" i="8" s="1"/>
  <c r="BB62" i="8" a="1"/>
  <c r="BB62" i="8" s="1"/>
  <c r="BA62" i="8" a="1"/>
  <c r="BA62" i="8" s="1"/>
  <c r="AZ62" i="8" a="1"/>
  <c r="AZ62" i="8" s="1"/>
  <c r="AY62" i="8" a="1"/>
  <c r="AY62" i="8" s="1"/>
  <c r="BF61" i="8" a="1"/>
  <c r="BF61" i="8" s="1"/>
  <c r="BE61" i="8" a="1"/>
  <c r="BE61" i="8" s="1"/>
  <c r="BD61" i="8" a="1"/>
  <c r="BD61" i="8" s="1"/>
  <c r="BC61" i="8" a="1"/>
  <c r="BC61" i="8" s="1"/>
  <c r="BB61" i="8" a="1"/>
  <c r="BB61" i="8" s="1"/>
  <c r="BA61" i="8" a="1"/>
  <c r="BA61" i="8" s="1"/>
  <c r="AZ61" i="8" a="1"/>
  <c r="AZ61" i="8" s="1"/>
  <c r="AY61" i="8" a="1"/>
  <c r="AY61" i="8" s="1"/>
  <c r="BF60" i="8" a="1"/>
  <c r="BF60" i="8" s="1"/>
  <c r="BE60" i="8" a="1"/>
  <c r="BE60" i="8" s="1"/>
  <c r="BD60" i="8" a="1"/>
  <c r="BD60" i="8" s="1"/>
  <c r="BC60" i="8" a="1"/>
  <c r="BC60" i="8" s="1"/>
  <c r="BB60" i="8" a="1"/>
  <c r="BB60" i="8" s="1"/>
  <c r="BA60" i="8" a="1"/>
  <c r="BA60" i="8" s="1"/>
  <c r="AZ60" i="8" a="1"/>
  <c r="AZ60" i="8" s="1"/>
  <c r="AY60" i="8" a="1"/>
  <c r="AY60" i="8" s="1"/>
  <c r="BF59" i="8" a="1"/>
  <c r="BF59" i="8" s="1"/>
  <c r="BE59" i="8" a="1"/>
  <c r="BE59" i="8" s="1"/>
  <c r="BD59" i="8" a="1"/>
  <c r="BD59" i="8" s="1"/>
  <c r="BC59" i="8" a="1"/>
  <c r="BC59" i="8" s="1"/>
  <c r="BB59" i="8" a="1"/>
  <c r="BB59" i="8" s="1"/>
  <c r="BA59" i="8" a="1"/>
  <c r="BA59" i="8" s="1"/>
  <c r="AZ59" i="8" a="1"/>
  <c r="AZ59" i="8" s="1"/>
  <c r="AY59" i="8" a="1"/>
  <c r="AY59" i="8" s="1"/>
  <c r="BF58" i="8" a="1"/>
  <c r="BF58" i="8" s="1"/>
  <c r="BE58" i="8" a="1"/>
  <c r="BE58" i="8" s="1"/>
  <c r="BD58" i="8" a="1"/>
  <c r="BD58" i="8" s="1"/>
  <c r="BC58" i="8" a="1"/>
  <c r="BC58" i="8" s="1"/>
  <c r="BB58" i="8" a="1"/>
  <c r="BB58" i="8" s="1"/>
  <c r="BA58" i="8" a="1"/>
  <c r="BA58" i="8" s="1"/>
  <c r="AZ58" i="8" a="1"/>
  <c r="AZ58" i="8" s="1"/>
  <c r="AY58" i="8" a="1"/>
  <c r="AY58" i="8" s="1"/>
  <c r="BF57" i="8" a="1"/>
  <c r="BF57" i="8" s="1"/>
  <c r="BE57" i="8" a="1"/>
  <c r="BE57" i="8" s="1"/>
  <c r="BD57" i="8" a="1"/>
  <c r="BD57" i="8" s="1"/>
  <c r="BC57" i="8" a="1"/>
  <c r="BC57" i="8" s="1"/>
  <c r="BB57" i="8" a="1"/>
  <c r="BB57" i="8" s="1"/>
  <c r="BA57" i="8" a="1"/>
  <c r="BA57" i="8" s="1"/>
  <c r="AZ57" i="8" a="1"/>
  <c r="AZ57" i="8" s="1"/>
  <c r="AY57" i="8" a="1"/>
  <c r="AY57" i="8" s="1"/>
  <c r="BF56" i="8" a="1"/>
  <c r="BF56" i="8" s="1"/>
  <c r="BE56" i="8" a="1"/>
  <c r="BE56" i="8" s="1"/>
  <c r="BD56" i="8" a="1"/>
  <c r="BD56" i="8" s="1"/>
  <c r="BC56" i="8" a="1"/>
  <c r="BC56" i="8" s="1"/>
  <c r="BB56" i="8"/>
  <c r="BB56" i="8" a="1"/>
  <c r="BA56" i="8" a="1"/>
  <c r="BA56" i="8" s="1"/>
  <c r="AZ56" i="8" a="1"/>
  <c r="AZ56" i="8" s="1"/>
  <c r="AY56" i="8" a="1"/>
  <c r="AY56" i="8" s="1"/>
  <c r="BF55" i="8" a="1"/>
  <c r="BF55" i="8" s="1"/>
  <c r="BE55" i="8" a="1"/>
  <c r="BE55" i="8" s="1"/>
  <c r="BD55" i="8" a="1"/>
  <c r="BD55" i="8" s="1"/>
  <c r="BC55" i="8" a="1"/>
  <c r="BC55" i="8" s="1"/>
  <c r="BB55" i="8" a="1"/>
  <c r="BB55" i="8" s="1"/>
  <c r="BA55" i="8" a="1"/>
  <c r="BA55" i="8" s="1"/>
  <c r="AZ55" i="8" a="1"/>
  <c r="AZ55" i="8" s="1"/>
  <c r="AY55" i="8" a="1"/>
  <c r="AY55" i="8" s="1"/>
  <c r="BF54" i="8" a="1"/>
  <c r="BF54" i="8" s="1"/>
  <c r="BE54" i="8" a="1"/>
  <c r="BE54" i="8" s="1"/>
  <c r="BD54" i="8" a="1"/>
  <c r="BD54" i="8" s="1"/>
  <c r="BC54" i="8" a="1"/>
  <c r="BC54" i="8" s="1"/>
  <c r="BB54" i="8" a="1"/>
  <c r="BB54" i="8" s="1"/>
  <c r="BA54" i="8" a="1"/>
  <c r="BA54" i="8" s="1"/>
  <c r="AZ54" i="8" a="1"/>
  <c r="AZ54" i="8" s="1"/>
  <c r="AY54" i="8" a="1"/>
  <c r="AY54" i="8" s="1"/>
  <c r="BF53" i="8" a="1"/>
  <c r="BF53" i="8" s="1"/>
  <c r="BE53" i="8" a="1"/>
  <c r="BE53" i="8" s="1"/>
  <c r="BD53" i="8" a="1"/>
  <c r="BD53" i="8" s="1"/>
  <c r="BC53" i="8" a="1"/>
  <c r="BC53" i="8" s="1"/>
  <c r="BB53" i="8" a="1"/>
  <c r="BB53" i="8" s="1"/>
  <c r="BA53" i="8" a="1"/>
  <c r="BA53" i="8" s="1"/>
  <c r="AZ53" i="8" a="1"/>
  <c r="AZ53" i="8" s="1"/>
  <c r="AY53" i="8" a="1"/>
  <c r="AY53" i="8" s="1"/>
  <c r="BF52" i="8" a="1"/>
  <c r="BF52" i="8" s="1"/>
  <c r="BE52" i="8" a="1"/>
  <c r="BE52" i="8" s="1"/>
  <c r="BD52" i="8" a="1"/>
  <c r="BD52" i="8" s="1"/>
  <c r="BC52" i="8" a="1"/>
  <c r="BC52" i="8" s="1"/>
  <c r="BB52" i="8" a="1"/>
  <c r="BB52" i="8" s="1"/>
  <c r="BA52" i="8" a="1"/>
  <c r="BA52" i="8" s="1"/>
  <c r="AZ52" i="8" a="1"/>
  <c r="AZ52" i="8" s="1"/>
  <c r="AY52" i="8" a="1"/>
  <c r="AY52" i="8" s="1"/>
  <c r="BF51" i="8" a="1"/>
  <c r="BF51" i="8" s="1"/>
  <c r="BE51" i="8" a="1"/>
  <c r="BE51" i="8" s="1"/>
  <c r="BD51" i="8" a="1"/>
  <c r="BD51" i="8" s="1"/>
  <c r="BC51" i="8" a="1"/>
  <c r="BC51" i="8" s="1"/>
  <c r="BB51" i="8" a="1"/>
  <c r="BB51" i="8" s="1"/>
  <c r="BA51" i="8" a="1"/>
  <c r="BA51" i="8" s="1"/>
  <c r="AZ51" i="8" a="1"/>
  <c r="AZ51" i="8" s="1"/>
  <c r="AY51" i="8" a="1"/>
  <c r="AY51" i="8" s="1"/>
  <c r="BF50" i="8" a="1"/>
  <c r="BF50" i="8" s="1"/>
  <c r="BE50" i="8" a="1"/>
  <c r="BE50" i="8" s="1"/>
  <c r="BD50" i="8" a="1"/>
  <c r="BD50" i="8" s="1"/>
  <c r="BC50" i="8" a="1"/>
  <c r="BC50" i="8" s="1"/>
  <c r="BB50" i="8" a="1"/>
  <c r="BB50" i="8" s="1"/>
  <c r="BA50" i="8" a="1"/>
  <c r="BA50" i="8" s="1"/>
  <c r="AZ50" i="8" a="1"/>
  <c r="AZ50" i="8" s="1"/>
  <c r="AY50" i="8"/>
  <c r="AY50" i="8" a="1"/>
  <c r="BF49" i="8" a="1"/>
  <c r="BF49" i="8" s="1"/>
  <c r="BE49" i="8" a="1"/>
  <c r="BE49" i="8" s="1"/>
  <c r="BD49" i="8" a="1"/>
  <c r="BD49" i="8" s="1"/>
  <c r="BC49" i="8" a="1"/>
  <c r="BC49" i="8" s="1"/>
  <c r="BB49" i="8" a="1"/>
  <c r="BB49" i="8" s="1"/>
  <c r="BA49" i="8" a="1"/>
  <c r="BA49" i="8" s="1"/>
  <c r="AZ49" i="8" a="1"/>
  <c r="AZ49" i="8" s="1"/>
  <c r="AY49" i="8" a="1"/>
  <c r="AY49" i="8" s="1"/>
  <c r="BF48" i="8" a="1"/>
  <c r="BF48" i="8" s="1"/>
  <c r="BE48" i="8" a="1"/>
  <c r="BE48" i="8" s="1"/>
  <c r="BD48" i="8" a="1"/>
  <c r="BD48" i="8" s="1"/>
  <c r="BC48" i="8" a="1"/>
  <c r="BC48" i="8" s="1"/>
  <c r="BB48" i="8" a="1"/>
  <c r="BB48" i="8" s="1"/>
  <c r="BA48" i="8" a="1"/>
  <c r="BA48" i="8" s="1"/>
  <c r="AZ48" i="8" a="1"/>
  <c r="AZ48" i="8" s="1"/>
  <c r="AY48" i="8" a="1"/>
  <c r="AY48" i="8" s="1"/>
  <c r="BF47" i="8" a="1"/>
  <c r="BF47" i="8" s="1"/>
  <c r="BE47" i="8" a="1"/>
  <c r="BE47" i="8" s="1"/>
  <c r="BD47" i="8" a="1"/>
  <c r="BD47" i="8" s="1"/>
  <c r="BC47" i="8" a="1"/>
  <c r="BC47" i="8" s="1"/>
  <c r="BB47" i="8" a="1"/>
  <c r="BB47" i="8" s="1"/>
  <c r="BA47" i="8" a="1"/>
  <c r="BA47" i="8" s="1"/>
  <c r="AZ47" i="8" a="1"/>
  <c r="AZ47" i="8" s="1"/>
  <c r="AY47" i="8" a="1"/>
  <c r="AY47" i="8" s="1"/>
  <c r="BF46" i="8" a="1"/>
  <c r="BF46" i="8" s="1"/>
  <c r="BE46" i="8" a="1"/>
  <c r="BE46" i="8" s="1"/>
  <c r="BD46" i="8" a="1"/>
  <c r="BD46" i="8" s="1"/>
  <c r="BC46" i="8" a="1"/>
  <c r="BC46" i="8" s="1"/>
  <c r="BB46" i="8" a="1"/>
  <c r="BB46" i="8" s="1"/>
  <c r="BA46" i="8" a="1"/>
  <c r="BA46" i="8" s="1"/>
  <c r="AZ46" i="8"/>
  <c r="AZ46" i="8" a="1"/>
  <c r="AY46" i="8" a="1"/>
  <c r="AY46" i="8" s="1"/>
  <c r="BF45" i="8" a="1"/>
  <c r="BF45" i="8" s="1"/>
  <c r="BE45" i="8" a="1"/>
  <c r="BE45" i="8" s="1"/>
  <c r="BD45" i="8" a="1"/>
  <c r="BD45" i="8" s="1"/>
  <c r="BC45" i="8" a="1"/>
  <c r="BC45" i="8" s="1"/>
  <c r="BB45" i="8" a="1"/>
  <c r="BB45" i="8" s="1"/>
  <c r="BA45" i="8" a="1"/>
  <c r="BA45" i="8" s="1"/>
  <c r="AZ45" i="8" a="1"/>
  <c r="AZ45" i="8" s="1"/>
  <c r="AY45" i="8" a="1"/>
  <c r="AY45" i="8" s="1"/>
  <c r="BF44" i="8" a="1"/>
  <c r="BF44" i="8" s="1"/>
  <c r="BE44" i="8" a="1"/>
  <c r="BE44" i="8" s="1"/>
  <c r="BD44" i="8" a="1"/>
  <c r="BD44" i="8" s="1"/>
  <c r="BC44" i="8" a="1"/>
  <c r="BC44" i="8" s="1"/>
  <c r="BB44" i="8" a="1"/>
  <c r="BB44" i="8" s="1"/>
  <c r="BA44" i="8" a="1"/>
  <c r="BA44" i="8" s="1"/>
  <c r="AZ44" i="8" a="1"/>
  <c r="AZ44" i="8" s="1"/>
  <c r="AY44" i="8" a="1"/>
  <c r="AY44" i="8" s="1"/>
  <c r="BF43" i="8" a="1"/>
  <c r="BF43" i="8" s="1"/>
  <c r="BE43" i="8" a="1"/>
  <c r="BE43" i="8" s="1"/>
  <c r="BD43" i="8" a="1"/>
  <c r="BD43" i="8" s="1"/>
  <c r="BC43" i="8" a="1"/>
  <c r="BC43" i="8" s="1"/>
  <c r="BB43" i="8" a="1"/>
  <c r="BB43" i="8" s="1"/>
  <c r="BA43" i="8"/>
  <c r="BA43" i="8" a="1"/>
  <c r="AZ43" i="8" a="1"/>
  <c r="AZ43" i="8" s="1"/>
  <c r="AY43" i="8" a="1"/>
  <c r="AY43" i="8" s="1"/>
  <c r="BF42" i="8" a="1"/>
  <c r="BF42" i="8" s="1"/>
  <c r="BE42" i="8" a="1"/>
  <c r="BE42" i="8" s="1"/>
  <c r="BD42" i="8" a="1"/>
  <c r="BD42" i="8" s="1"/>
  <c r="BC42" i="8" a="1"/>
  <c r="BC42" i="8" s="1"/>
  <c r="BB42" i="8" a="1"/>
  <c r="BB42" i="8" s="1"/>
  <c r="BA42" i="8" a="1"/>
  <c r="BA42" i="8" s="1"/>
  <c r="AZ42" i="8" a="1"/>
  <c r="AZ42" i="8" s="1"/>
  <c r="AY42" i="8" a="1"/>
  <c r="AY42" i="8" s="1"/>
  <c r="BF41" i="8" a="1"/>
  <c r="BF41" i="8" s="1"/>
  <c r="BE41" i="8" a="1"/>
  <c r="BE41" i="8" s="1"/>
  <c r="BD41" i="8" a="1"/>
  <c r="BD41" i="8" s="1"/>
  <c r="BC41" i="8" a="1"/>
  <c r="BC41" i="8" s="1"/>
  <c r="BB41" i="8" a="1"/>
  <c r="BB41" i="8" s="1"/>
  <c r="BA41" i="8" a="1"/>
  <c r="BA41" i="8" s="1"/>
  <c r="AZ41" i="8" a="1"/>
  <c r="AZ41" i="8" s="1"/>
  <c r="AY41" i="8" a="1"/>
  <c r="AY41" i="8" s="1"/>
  <c r="BF40" i="8" a="1"/>
  <c r="BF40" i="8" s="1"/>
  <c r="BE40" i="8" a="1"/>
  <c r="BE40" i="8" s="1"/>
  <c r="BD40" i="8" a="1"/>
  <c r="BD40" i="8" s="1"/>
  <c r="BC40" i="8" a="1"/>
  <c r="BC40" i="8" s="1"/>
  <c r="BB40" i="8" a="1"/>
  <c r="BB40" i="8" s="1"/>
  <c r="BA40" i="8"/>
  <c r="BA40" i="8" a="1"/>
  <c r="AZ40" i="8" a="1"/>
  <c r="AZ40" i="8" s="1"/>
  <c r="AY40" i="8" a="1"/>
  <c r="AY40" i="8" s="1"/>
  <c r="BF39" i="8" a="1"/>
  <c r="BF39" i="8" s="1"/>
  <c r="BE39" i="8" a="1"/>
  <c r="BE39" i="8" s="1"/>
  <c r="BD39" i="8" a="1"/>
  <c r="BD39" i="8" s="1"/>
  <c r="BC39" i="8" a="1"/>
  <c r="BC39" i="8" s="1"/>
  <c r="BB39" i="8" a="1"/>
  <c r="BB39" i="8" s="1"/>
  <c r="BA39" i="8" a="1"/>
  <c r="BA39" i="8" s="1"/>
  <c r="AZ39" i="8"/>
  <c r="AZ39" i="8" a="1"/>
  <c r="AY39" i="8" a="1"/>
  <c r="AY39" i="8" s="1"/>
  <c r="BF38" i="8" a="1"/>
  <c r="BF38" i="8" s="1"/>
  <c r="BE38" i="8" a="1"/>
  <c r="BE38" i="8" s="1"/>
  <c r="BD38" i="8" a="1"/>
  <c r="BD38" i="8" s="1"/>
  <c r="BC38" i="8" a="1"/>
  <c r="BC38" i="8" s="1"/>
  <c r="BB38" i="8" a="1"/>
  <c r="BB38" i="8" s="1"/>
  <c r="BA38" i="8" a="1"/>
  <c r="BA38" i="8" s="1"/>
  <c r="AZ38" i="8" a="1"/>
  <c r="AZ38" i="8" s="1"/>
  <c r="AY38" i="8" a="1"/>
  <c r="AY38" i="8" s="1"/>
  <c r="BF37" i="8" a="1"/>
  <c r="BF37" i="8" s="1"/>
  <c r="BE37" i="8" a="1"/>
  <c r="BE37" i="8" s="1"/>
  <c r="BD37" i="8" a="1"/>
  <c r="BD37" i="8" s="1"/>
  <c r="BC37" i="8" a="1"/>
  <c r="BC37" i="8" s="1"/>
  <c r="BB37" i="8" a="1"/>
  <c r="BB37" i="8" s="1"/>
  <c r="BA37" i="8" a="1"/>
  <c r="BA37" i="8" s="1"/>
  <c r="AZ37" i="8" a="1"/>
  <c r="AZ37" i="8" s="1"/>
  <c r="AY37" i="8" a="1"/>
  <c r="AY37" i="8" s="1"/>
  <c r="BF36" i="8" a="1"/>
  <c r="BF36" i="8" s="1"/>
  <c r="BE36" i="8" a="1"/>
  <c r="BE36" i="8" s="1"/>
  <c r="BD36" i="8" a="1"/>
  <c r="BD36" i="8" s="1"/>
  <c r="BC36" i="8" a="1"/>
  <c r="BC36" i="8" s="1"/>
  <c r="BB36" i="8" a="1"/>
  <c r="BB36" i="8" s="1"/>
  <c r="BA36" i="8" a="1"/>
  <c r="BA36" i="8" s="1"/>
  <c r="AZ36" i="8" a="1"/>
  <c r="AZ36" i="8" s="1"/>
  <c r="AY36" i="8" a="1"/>
  <c r="AY36" i="8" s="1"/>
  <c r="BF35" i="8" a="1"/>
  <c r="BF35" i="8" s="1"/>
  <c r="BE35" i="8"/>
  <c r="BE35" i="8" a="1"/>
  <c r="BD35" i="8" a="1"/>
  <c r="BD35" i="8" s="1"/>
  <c r="BC35" i="8" a="1"/>
  <c r="BC35" i="8" s="1"/>
  <c r="BB35" i="8" a="1"/>
  <c r="BB35" i="8" s="1"/>
  <c r="BA35" i="8" a="1"/>
  <c r="BA35" i="8" s="1"/>
  <c r="AZ35" i="8" a="1"/>
  <c r="AZ35" i="8" s="1"/>
  <c r="AY35" i="8" a="1"/>
  <c r="AY35" i="8" s="1"/>
  <c r="BF34" i="8" a="1"/>
  <c r="BF34" i="8" s="1"/>
  <c r="BE34" i="8" a="1"/>
  <c r="BE34" i="8" s="1"/>
  <c r="BD34" i="8" a="1"/>
  <c r="BD34" i="8" s="1"/>
  <c r="BC34" i="8" a="1"/>
  <c r="BC34" i="8" s="1"/>
  <c r="BB34" i="8" a="1"/>
  <c r="BB34" i="8" s="1"/>
  <c r="BA34" i="8" a="1"/>
  <c r="BA34" i="8" s="1"/>
  <c r="AZ34" i="8" a="1"/>
  <c r="AZ34" i="8" s="1"/>
  <c r="AY34" i="8" a="1"/>
  <c r="AY34" i="8" s="1"/>
  <c r="BF33" i="8" a="1"/>
  <c r="BF33" i="8" s="1"/>
  <c r="BE33" i="8" a="1"/>
  <c r="BE33" i="8" s="1"/>
  <c r="BD33" i="8" a="1"/>
  <c r="BD33" i="8" s="1"/>
  <c r="BC33" i="8"/>
  <c r="BC33" i="8" a="1"/>
  <c r="BB33" i="8" a="1"/>
  <c r="BB33" i="8" s="1"/>
  <c r="BA33" i="8" a="1"/>
  <c r="BA33" i="8" s="1"/>
  <c r="AZ33" i="8" a="1"/>
  <c r="AZ33" i="8" s="1"/>
  <c r="AY33" i="8" a="1"/>
  <c r="AY33" i="8" s="1"/>
  <c r="BF32" i="8" a="1"/>
  <c r="BF32" i="8" s="1"/>
  <c r="BE32" i="8" a="1"/>
  <c r="BE32" i="8" s="1"/>
  <c r="BD32" i="8" a="1"/>
  <c r="BD32" i="8" s="1"/>
  <c r="BC32" i="8" a="1"/>
  <c r="BC32" i="8" s="1"/>
  <c r="BB32" i="8"/>
  <c r="BB32" i="8" a="1"/>
  <c r="BA32" i="8" a="1"/>
  <c r="BA32" i="8" s="1"/>
  <c r="AZ32" i="8" a="1"/>
  <c r="AZ32" i="8" s="1"/>
  <c r="AY32" i="8" a="1"/>
  <c r="AY32" i="8" s="1"/>
  <c r="BF31" i="8" a="1"/>
  <c r="BF31" i="8" s="1"/>
  <c r="BE31" i="8" a="1"/>
  <c r="BE31" i="8" s="1"/>
  <c r="BD31" i="8" a="1"/>
  <c r="BD31" i="8" s="1"/>
  <c r="BC31" i="8" a="1"/>
  <c r="BC31" i="8" s="1"/>
  <c r="BB31" i="8" a="1"/>
  <c r="BB31" i="8" s="1"/>
  <c r="BA31" i="8" a="1"/>
  <c r="BA31" i="8" s="1"/>
  <c r="AZ31" i="8" a="1"/>
  <c r="AZ31" i="8" s="1"/>
  <c r="AY31" i="8" a="1"/>
  <c r="AY31" i="8" s="1"/>
  <c r="BF30" i="8" a="1"/>
  <c r="BF30" i="8" s="1"/>
  <c r="BE30" i="8" a="1"/>
  <c r="BE30" i="8" s="1"/>
  <c r="BD30" i="8" a="1"/>
  <c r="BD30" i="8" s="1"/>
  <c r="BC30" i="8" a="1"/>
  <c r="BC30" i="8" s="1"/>
  <c r="BB30" i="8" a="1"/>
  <c r="BB30" i="8" s="1"/>
  <c r="BA30" i="8" a="1"/>
  <c r="BA30" i="8" s="1"/>
  <c r="AZ30" i="8" a="1"/>
  <c r="AZ30" i="8" s="1"/>
  <c r="AY30" i="8" a="1"/>
  <c r="AY30" i="8" s="1"/>
  <c r="BF29" i="8" a="1"/>
  <c r="BF29" i="8" s="1"/>
  <c r="BE29" i="8" a="1"/>
  <c r="BE29" i="8" s="1"/>
  <c r="BD29" i="8" a="1"/>
  <c r="BD29" i="8" s="1"/>
  <c r="BC29" i="8" a="1"/>
  <c r="BC29" i="8" s="1"/>
  <c r="BB29" i="8" a="1"/>
  <c r="BB29" i="8" s="1"/>
  <c r="BA29" i="8" a="1"/>
  <c r="BA29" i="8" s="1"/>
  <c r="AZ29" i="8" a="1"/>
  <c r="AZ29" i="8" s="1"/>
  <c r="AY29" i="8"/>
  <c r="AY29" i="8" a="1"/>
  <c r="BF28" i="8" a="1"/>
  <c r="BF28" i="8" s="1"/>
  <c r="BE28" i="8" a="1"/>
  <c r="BE28" i="8" s="1"/>
  <c r="BD28" i="8" a="1"/>
  <c r="BD28" i="8" s="1"/>
  <c r="BC28" i="8" a="1"/>
  <c r="BC28" i="8" s="1"/>
  <c r="BB28" i="8" a="1"/>
  <c r="BB28" i="8" s="1"/>
  <c r="BA28" i="8" a="1"/>
  <c r="BA28" i="8" s="1"/>
  <c r="AZ28" i="8" a="1"/>
  <c r="AZ28" i="8" s="1"/>
  <c r="AY28" i="8" a="1"/>
  <c r="AY28" i="8" s="1"/>
  <c r="BF27" i="8" a="1"/>
  <c r="BF27" i="8" s="1"/>
  <c r="BE27" i="8" a="1"/>
  <c r="BE27" i="8" s="1"/>
  <c r="BD27" i="8" a="1"/>
  <c r="BD27" i="8" s="1"/>
  <c r="BC27" i="8" a="1"/>
  <c r="BC27" i="8" s="1"/>
  <c r="BB27" i="8" a="1"/>
  <c r="BB27" i="8" s="1"/>
  <c r="BA27" i="8" a="1"/>
  <c r="BA27" i="8" s="1"/>
  <c r="AZ27" i="8" a="1"/>
  <c r="AZ27" i="8" s="1"/>
  <c r="AY27" i="8" a="1"/>
  <c r="AY27" i="8" s="1"/>
  <c r="BF26" i="8" a="1"/>
  <c r="BF26" i="8" s="1"/>
  <c r="BE26" i="8" a="1"/>
  <c r="BE26" i="8" s="1"/>
  <c r="BD26" i="8" a="1"/>
  <c r="BD26" i="8" s="1"/>
  <c r="BC26" i="8" a="1"/>
  <c r="BC26" i="8" s="1"/>
  <c r="BB26" i="8" a="1"/>
  <c r="BB26" i="8" s="1"/>
  <c r="BA26" i="8" a="1"/>
  <c r="BA26" i="8" s="1"/>
  <c r="AZ26" i="8" a="1"/>
  <c r="AZ26" i="8" s="1"/>
  <c r="AY26" i="8" a="1"/>
  <c r="AY26" i="8" s="1"/>
  <c r="BF25" i="8" a="1"/>
  <c r="BF25" i="8" s="1"/>
  <c r="BE25" i="8" a="1"/>
  <c r="BE25" i="8" s="1"/>
  <c r="BD25" i="8" a="1"/>
  <c r="BD25" i="8" s="1"/>
  <c r="BC25" i="8" a="1"/>
  <c r="BC25" i="8" s="1"/>
  <c r="BB25" i="8" a="1"/>
  <c r="BB25" i="8" s="1"/>
  <c r="BA25" i="8" a="1"/>
  <c r="BA25" i="8" s="1"/>
  <c r="AZ25" i="8" a="1"/>
  <c r="AZ25" i="8" s="1"/>
  <c r="AY25" i="8" a="1"/>
  <c r="AY25" i="8" s="1"/>
  <c r="BF24" i="8" a="1"/>
  <c r="BF24" i="8" s="1"/>
  <c r="BE24" i="8" a="1"/>
  <c r="BE24" i="8" s="1"/>
  <c r="BD24" i="8" a="1"/>
  <c r="BD24" i="8" s="1"/>
  <c r="BC24" i="8" a="1"/>
  <c r="BC24" i="8" s="1"/>
  <c r="BB24" i="8" a="1"/>
  <c r="BB24" i="8" s="1"/>
  <c r="BA24" i="8" a="1"/>
  <c r="BA24" i="8" s="1"/>
  <c r="AZ24" i="8" a="1"/>
  <c r="AZ24" i="8" s="1"/>
  <c r="AY24" i="8" a="1"/>
  <c r="AY24" i="8" s="1"/>
  <c r="BF23" i="8" a="1"/>
  <c r="BF23" i="8" s="1"/>
  <c r="BE23" i="8" a="1"/>
  <c r="BE23" i="8" s="1"/>
  <c r="BD23" i="8" a="1"/>
  <c r="BD23" i="8" s="1"/>
  <c r="BC23" i="8" a="1"/>
  <c r="BC23" i="8" s="1"/>
  <c r="BB23" i="8" a="1"/>
  <c r="BB23" i="8" s="1"/>
  <c r="BA23" i="8" a="1"/>
  <c r="BA23" i="8" s="1"/>
  <c r="AZ23" i="8" a="1"/>
  <c r="AZ23" i="8" s="1"/>
  <c r="AY23" i="8" a="1"/>
  <c r="AY23" i="8" s="1"/>
  <c r="BF22" i="8" a="1"/>
  <c r="BF22" i="8" s="1"/>
  <c r="BE22" i="8" a="1"/>
  <c r="BE22" i="8" s="1"/>
  <c r="BD22" i="8" a="1"/>
  <c r="BD22" i="8" s="1"/>
  <c r="BC22" i="8" a="1"/>
  <c r="BC22" i="8" s="1"/>
  <c r="BB22" i="8" a="1"/>
  <c r="BB22" i="8" s="1"/>
  <c r="BA22" i="8"/>
  <c r="BA22" i="8" a="1"/>
  <c r="AZ22" i="8" a="1"/>
  <c r="AZ22" i="8" s="1"/>
  <c r="AY22" i="8" a="1"/>
  <c r="AY22" i="8" s="1"/>
  <c r="BF21" i="8" a="1"/>
  <c r="BF21" i="8" s="1"/>
  <c r="BE21" i="8" a="1"/>
  <c r="BE21" i="8" s="1"/>
  <c r="BD21" i="8" a="1"/>
  <c r="BD21" i="8" s="1"/>
  <c r="BC21" i="8" a="1"/>
  <c r="BC21" i="8" s="1"/>
  <c r="BB21" i="8" a="1"/>
  <c r="BB21" i="8" s="1"/>
  <c r="BA21" i="8" a="1"/>
  <c r="BA21" i="8" s="1"/>
  <c r="AZ21" i="8" a="1"/>
  <c r="AZ21" i="8" s="1"/>
  <c r="AY21" i="8" a="1"/>
  <c r="AY21" i="8" s="1"/>
  <c r="BF20" i="8" a="1"/>
  <c r="BF20" i="8" s="1"/>
  <c r="BE20" i="8" a="1"/>
  <c r="BE20" i="8" s="1"/>
  <c r="BD20" i="8" a="1"/>
  <c r="BD20" i="8" s="1"/>
  <c r="BC20" i="8" a="1"/>
  <c r="BC20" i="8" s="1"/>
  <c r="BB20" i="8" a="1"/>
  <c r="BB20" i="8" s="1"/>
  <c r="BA20" i="8" a="1"/>
  <c r="BA20" i="8" s="1"/>
  <c r="AZ20" i="8" a="1"/>
  <c r="AZ20" i="8" s="1"/>
  <c r="AY20" i="8"/>
  <c r="AY20" i="8" a="1"/>
  <c r="BF19" i="8" a="1"/>
  <c r="BF19" i="8" s="1"/>
  <c r="BE19" i="8" a="1"/>
  <c r="BE19" i="8" s="1"/>
  <c r="BD19" i="8" a="1"/>
  <c r="BD19" i="8" s="1"/>
  <c r="BC19" i="8" a="1"/>
  <c r="BC19" i="8" s="1"/>
  <c r="BB19" i="8" a="1"/>
  <c r="BB19" i="8" s="1"/>
  <c r="BA19" i="8" a="1"/>
  <c r="BA19" i="8" s="1"/>
  <c r="AZ19" i="8" a="1"/>
  <c r="AZ19" i="8" s="1"/>
  <c r="AY19" i="8" a="1"/>
  <c r="AY19" i="8" s="1"/>
  <c r="BF18" i="8" a="1"/>
  <c r="BF18" i="8" s="1"/>
  <c r="BE18" i="8" a="1"/>
  <c r="BE18" i="8" s="1"/>
  <c r="BD18" i="8" a="1"/>
  <c r="BD18" i="8" s="1"/>
  <c r="BC18" i="8" a="1"/>
  <c r="BC18" i="8" s="1"/>
  <c r="BB18" i="8" a="1"/>
  <c r="BB18" i="8" s="1"/>
  <c r="BA18" i="8" a="1"/>
  <c r="BA18" i="8" s="1"/>
  <c r="AZ18" i="8" a="1"/>
  <c r="AZ18" i="8" s="1"/>
  <c r="AY18" i="8" a="1"/>
  <c r="AY18" i="8" s="1"/>
  <c r="BF17" i="8" a="1"/>
  <c r="BF17" i="8" s="1"/>
  <c r="BE17" i="8" a="1"/>
  <c r="BE17" i="8" s="1"/>
  <c r="BD17" i="8" a="1"/>
  <c r="BD17" i="8" s="1"/>
  <c r="BC17" i="8" a="1"/>
  <c r="BC17" i="8" s="1"/>
  <c r="BB17" i="8"/>
  <c r="BB17" i="8" a="1"/>
  <c r="BA17" i="8" a="1"/>
  <c r="BA17" i="8" s="1"/>
  <c r="AZ17" i="8" a="1"/>
  <c r="AZ17" i="8" s="1"/>
  <c r="AY17" i="8"/>
  <c r="AY17" i="8" a="1"/>
  <c r="BF16" i="8" a="1"/>
  <c r="BF16" i="8" s="1"/>
  <c r="BE16" i="8" a="1"/>
  <c r="BE16" i="8" s="1"/>
  <c r="BD16" i="8" a="1"/>
  <c r="BD16" i="8" s="1"/>
  <c r="BC16" i="8" a="1"/>
  <c r="BC16" i="8" s="1"/>
  <c r="BB16" i="8" a="1"/>
  <c r="BB16" i="8" s="1"/>
  <c r="BA16" i="8"/>
  <c r="BA16" i="8" a="1"/>
  <c r="AZ16" i="8" a="1"/>
  <c r="AZ16" i="8" s="1"/>
  <c r="AY16" i="8" a="1"/>
  <c r="AY16" i="8" s="1"/>
  <c r="BF15" i="8" a="1"/>
  <c r="BF15" i="8" s="1"/>
  <c r="BE15" i="8" a="1"/>
  <c r="BE15" i="8" s="1"/>
  <c r="BD15" i="8" a="1"/>
  <c r="BD15" i="8" s="1"/>
  <c r="BC15" i="8" a="1"/>
  <c r="BC15" i="8" s="1"/>
  <c r="BB15" i="8" a="1"/>
  <c r="BB15" i="8" s="1"/>
  <c r="BA15" i="8" a="1"/>
  <c r="BA15" i="8" s="1"/>
  <c r="AZ15" i="8"/>
  <c r="AZ15" i="8" a="1"/>
  <c r="AY15" i="8" a="1"/>
  <c r="AY15" i="8" s="1"/>
  <c r="BF14" i="8" a="1"/>
  <c r="BF14" i="8" s="1"/>
  <c r="BE14" i="8"/>
  <c r="BE14" i="8" a="1"/>
  <c r="BD14" i="8" a="1"/>
  <c r="BD14" i="8" s="1"/>
  <c r="BC14" i="8" a="1"/>
  <c r="BC14" i="8" s="1"/>
  <c r="BB14" i="8" a="1"/>
  <c r="BB14" i="8" s="1"/>
  <c r="BA14" i="8" a="1"/>
  <c r="BA14" i="8" s="1"/>
  <c r="AZ14" i="8" a="1"/>
  <c r="AZ14" i="8" s="1"/>
  <c r="AY14" i="8"/>
  <c r="AY14" i="8" a="1"/>
  <c r="BF13" i="8" a="1"/>
  <c r="BF13" i="8" s="1"/>
  <c r="BE13" i="8" a="1"/>
  <c r="BE13" i="8" s="1"/>
  <c r="BD13" i="8" a="1"/>
  <c r="BD13" i="8" s="1"/>
  <c r="BC13" i="8" a="1"/>
  <c r="BC13" i="8" s="1"/>
  <c r="BB13" i="8" a="1"/>
  <c r="BB13" i="8" s="1"/>
  <c r="BA13" i="8" a="1"/>
  <c r="BA13" i="8" s="1"/>
  <c r="AZ13" i="8" a="1"/>
  <c r="AZ13" i="8" s="1"/>
  <c r="AY13" i="8" a="1"/>
  <c r="AY13" i="8" s="1"/>
  <c r="BF12" i="8" a="1"/>
  <c r="BF12" i="8" s="1"/>
  <c r="BE12" i="8" a="1"/>
  <c r="BE12" i="8" s="1"/>
  <c r="BD12" i="8" a="1"/>
  <c r="BD12" i="8" s="1"/>
  <c r="BC12" i="8" a="1"/>
  <c r="BC12" i="8" s="1"/>
  <c r="BB12" i="8" a="1"/>
  <c r="BB12" i="8" s="1"/>
  <c r="BA12" i="8" a="1"/>
  <c r="BA12" i="8" s="1"/>
  <c r="AZ12" i="8" a="1"/>
  <c r="AZ12" i="8" s="1"/>
  <c r="AY12" i="8" a="1"/>
  <c r="AY12" i="8" s="1"/>
  <c r="BF11" i="8" a="1"/>
  <c r="BF11" i="8" s="1"/>
  <c r="BE11" i="8" a="1"/>
  <c r="BE11" i="8" s="1"/>
  <c r="BD11" i="8" a="1"/>
  <c r="BD11" i="8" s="1"/>
  <c r="BC11" i="8" a="1"/>
  <c r="BC11" i="8" s="1"/>
  <c r="BB11" i="8" a="1"/>
  <c r="BB11" i="8" s="1"/>
  <c r="BA11" i="8" a="1"/>
  <c r="BA11" i="8" s="1"/>
  <c r="AZ11" i="8" a="1"/>
  <c r="AZ11" i="8" s="1"/>
  <c r="AY11" i="8" a="1"/>
  <c r="AY11" i="8" s="1"/>
  <c r="BF10" i="8" a="1"/>
  <c r="BF10" i="8" s="1"/>
  <c r="BE10" i="8" a="1"/>
  <c r="BE10" i="8" s="1"/>
  <c r="BD10" i="8" a="1"/>
  <c r="BD10" i="8" s="1"/>
  <c r="BC10" i="8" a="1"/>
  <c r="BC10" i="8" s="1"/>
  <c r="BB10" i="8" a="1"/>
  <c r="BB10" i="8" s="1"/>
  <c r="BA10" i="8"/>
  <c r="BA10" i="8" a="1"/>
  <c r="AZ10" i="8" a="1"/>
  <c r="AZ10" i="8" s="1"/>
  <c r="AY10" i="8" a="1"/>
  <c r="AY10" i="8" s="1"/>
  <c r="BF9" i="8" a="1"/>
  <c r="BF9" i="8" s="1"/>
  <c r="BE9" i="8" a="1"/>
  <c r="BE9" i="8" s="1"/>
  <c r="BD9" i="8" a="1"/>
  <c r="BD9" i="8" s="1"/>
  <c r="BC9" i="8"/>
  <c r="BC9" i="8" a="1"/>
  <c r="BB9" i="8" a="1"/>
  <c r="BB9" i="8" s="1"/>
  <c r="BA9" i="8" a="1"/>
  <c r="BA9" i="8" s="1"/>
  <c r="AZ9" i="8" a="1"/>
  <c r="AZ9" i="8" s="1"/>
  <c r="AY9" i="8" a="1"/>
  <c r="AY9" i="8" s="1"/>
  <c r="BF8" i="8" a="1"/>
  <c r="BF8" i="8" s="1"/>
  <c r="BE8" i="8" a="1"/>
  <c r="BE8" i="8" s="1"/>
  <c r="BD8" i="8" a="1"/>
  <c r="BD8" i="8" s="1"/>
  <c r="BC8" i="8" a="1"/>
  <c r="BC8" i="8" s="1"/>
  <c r="BB8" i="8" a="1"/>
  <c r="BB8" i="8" s="1"/>
  <c r="BA8" i="8" a="1"/>
  <c r="BA8" i="8" s="1"/>
  <c r="AZ8" i="8" a="1"/>
  <c r="AZ8" i="8" s="1"/>
  <c r="AY8" i="8" a="1"/>
  <c r="AY8" i="8" s="1"/>
  <c r="BF7" i="8" a="1"/>
  <c r="BF7" i="8" s="1"/>
  <c r="BE7" i="8" a="1"/>
  <c r="BE7" i="8" s="1"/>
  <c r="BD7" i="8" a="1"/>
  <c r="BD7" i="8" s="1"/>
  <c r="BC7" i="8" a="1"/>
  <c r="BC7" i="8" s="1"/>
  <c r="BB7" i="8" a="1"/>
  <c r="BB7" i="8" s="1"/>
  <c r="BA7" i="8" a="1"/>
  <c r="BA7" i="8" s="1"/>
  <c r="AZ7" i="8" a="1"/>
  <c r="AZ7" i="8" s="1"/>
  <c r="AY7" i="8" a="1"/>
  <c r="AY7" i="8" s="1"/>
  <c r="BF6" i="8" a="1"/>
  <c r="BF6" i="8" s="1"/>
  <c r="BE6" i="8" a="1"/>
  <c r="BE6" i="8" s="1"/>
  <c r="BD6" i="8" a="1"/>
  <c r="BD6" i="8" s="1"/>
  <c r="BC6" i="8"/>
  <c r="BC6" i="8" a="1"/>
  <c r="BB6" i="8" a="1"/>
  <c r="BB6" i="8" s="1"/>
  <c r="BA6" i="8" a="1"/>
  <c r="BA6" i="8" s="1"/>
  <c r="AZ6" i="8" a="1"/>
  <c r="AZ6" i="8" s="1"/>
  <c r="AY6" i="8" a="1"/>
  <c r="AY6" i="8" s="1"/>
  <c r="BF5" i="8" a="1"/>
  <c r="BF5" i="8" s="1"/>
  <c r="BE5" i="8" a="1"/>
  <c r="BE5" i="8" s="1"/>
  <c r="BD5" i="8" a="1"/>
  <c r="BD5" i="8" s="1"/>
  <c r="BC5" i="8" a="1"/>
  <c r="BC5" i="8" s="1"/>
  <c r="BB5" i="8" a="1"/>
  <c r="BB5" i="8" s="1"/>
  <c r="BA5" i="8" a="1"/>
  <c r="BA5" i="8" s="1"/>
  <c r="AZ5" i="8" a="1"/>
  <c r="AZ5" i="8" s="1"/>
  <c r="AY5" i="8" a="1"/>
  <c r="AY5" i="8" s="1"/>
  <c r="BF4" i="8" a="1"/>
  <c r="BF4" i="8" s="1"/>
  <c r="BE4" i="8" a="1"/>
  <c r="BE4" i="8" s="1"/>
  <c r="BD4" i="8" a="1"/>
  <c r="BD4" i="8" s="1"/>
  <c r="BC4" i="8" a="1"/>
  <c r="BC4" i="8" s="1"/>
  <c r="BB4" i="8" a="1"/>
  <c r="BB4" i="8" s="1"/>
  <c r="BA4" i="8"/>
  <c r="BA4" i="8" a="1"/>
  <c r="AZ4" i="8" a="1"/>
  <c r="AZ4" i="8" s="1"/>
  <c r="AY4" i="8" a="1"/>
  <c r="AY4" i="8" s="1"/>
  <c r="BF3" i="8" a="1"/>
  <c r="BF3" i="8" s="1"/>
  <c r="BE3" i="8" a="1"/>
  <c r="BE3" i="8" s="1"/>
  <c r="BD3" i="8" a="1"/>
  <c r="BD3" i="8" s="1"/>
  <c r="BC3" i="8" a="1"/>
  <c r="BC3" i="8" s="1"/>
  <c r="BB3" i="8" a="1"/>
  <c r="BB3" i="8" s="1"/>
  <c r="BA3" i="8" a="1"/>
  <c r="BA3" i="8" s="1"/>
  <c r="AZ3" i="8" a="1"/>
  <c r="AZ3" i="8" s="1"/>
  <c r="AY3" i="8" a="1"/>
  <c r="AY3" i="8" s="1"/>
  <c r="G13" i="4" a="1"/>
  <c r="C13" i="4" a="1"/>
  <c r="F13" i="4" a="1"/>
  <c r="B13" i="4" a="1"/>
  <c r="G13" i="4" l="1"/>
  <c r="C13" i="4"/>
  <c r="F13" i="4"/>
  <c r="B13" i="4"/>
  <c r="H14" i="4" l="1"/>
  <c r="G14" i="4"/>
  <c r="F14" i="4"/>
  <c r="E14" i="4"/>
  <c r="A14" i="4"/>
  <c r="D14" i="4"/>
  <c r="C14" i="4"/>
  <c r="B14" i="4"/>
  <c r="B15" i="4" l="1"/>
  <c r="B19" i="4" l="1"/>
  <c r="B23" i="4"/>
  <c r="L23" i="4" s="1"/>
  <c r="B21" i="4"/>
  <c r="L21" i="4" s="1"/>
  <c r="B22" i="4"/>
  <c r="L22" i="4" s="1"/>
  <c r="B20" i="4"/>
  <c r="B18" i="4"/>
  <c r="B17" i="4"/>
  <c r="B16" i="4"/>
  <c r="D33" i="4" l="1"/>
  <c r="C33" i="4"/>
  <c r="B33" i="4"/>
  <c r="C19" i="4"/>
  <c r="E29" i="4" s="1"/>
  <c r="L19" i="4"/>
  <c r="C17" i="4"/>
  <c r="E27" i="4" s="1"/>
  <c r="L17" i="4"/>
  <c r="C18" i="4"/>
  <c r="E28" i="4" s="1"/>
  <c r="L18" i="4"/>
  <c r="E20" i="4"/>
  <c r="G30" i="4" s="1"/>
  <c r="L20" i="4"/>
  <c r="D32" i="4"/>
  <c r="C32" i="4"/>
  <c r="B32" i="4"/>
  <c r="D31" i="4"/>
  <c r="C31" i="4"/>
  <c r="B31" i="4"/>
  <c r="C16" i="4"/>
  <c r="E26" i="4" s="1"/>
  <c r="L16" i="4"/>
  <c r="E19" i="4"/>
  <c r="G29" i="4" s="1"/>
  <c r="F19" i="4"/>
  <c r="H29" i="4" s="1"/>
  <c r="D19" i="4"/>
  <c r="F29" i="4" s="1"/>
  <c r="H21" i="4"/>
  <c r="J31" i="4" s="1"/>
  <c r="F22" i="4"/>
  <c r="H32" i="4" s="1"/>
  <c r="I23" i="4"/>
  <c r="K33" i="4" s="1"/>
  <c r="E18" i="4"/>
  <c r="G28" i="4" s="1"/>
  <c r="F20" i="4"/>
  <c r="H30" i="4" s="1"/>
  <c r="D18" i="4"/>
  <c r="F28" i="4" s="1"/>
  <c r="D17" i="4"/>
  <c r="F27" i="4" s="1"/>
  <c r="G20" i="4"/>
  <c r="I30" i="4" s="1"/>
  <c r="D20" i="4"/>
  <c r="F30" i="4" s="1"/>
  <c r="C20" i="4"/>
  <c r="E30" i="4" s="1"/>
  <c r="C30" i="4" l="1"/>
  <c r="D30" i="4"/>
  <c r="B30" i="4"/>
  <c r="B28" i="4"/>
  <c r="D28" i="4"/>
  <c r="C28" i="4"/>
  <c r="D26" i="4"/>
  <c r="B26" i="4"/>
  <c r="C26" i="4"/>
  <c r="D29" i="4"/>
  <c r="C29" i="4"/>
  <c r="B29" i="4"/>
  <c r="C27" i="4"/>
  <c r="D27" i="4"/>
  <c r="B27" i="4"/>
  <c r="H22" i="4"/>
  <c r="J32" i="4" s="1"/>
  <c r="G22" i="4"/>
  <c r="I32" i="4" s="1"/>
  <c r="I22" i="4"/>
  <c r="K32" i="4" s="1"/>
  <c r="G23" i="4"/>
  <c r="I33" i="4" s="1"/>
  <c r="F23" i="4"/>
  <c r="H33" i="4" s="1"/>
  <c r="J23" i="4"/>
  <c r="L33" i="4" s="1"/>
  <c r="E23" i="4"/>
  <c r="G33" i="4" s="1"/>
  <c r="C23" i="4"/>
  <c r="E33" i="4" s="1"/>
  <c r="H23" i="4"/>
  <c r="J33" i="4" s="1"/>
  <c r="C22" i="4"/>
  <c r="E32" i="4" s="1"/>
  <c r="E22" i="4"/>
  <c r="G32" i="4" s="1"/>
  <c r="D22" i="4"/>
  <c r="F32" i="4" s="1"/>
  <c r="C21" i="4"/>
  <c r="E31" i="4" s="1"/>
  <c r="E21" i="4"/>
  <c r="G31" i="4" s="1"/>
  <c r="D21" i="4"/>
  <c r="F31" i="4" s="1"/>
  <c r="G21" i="4"/>
  <c r="I31" i="4" s="1"/>
  <c r="F21" i="4"/>
  <c r="H31" i="4" s="1"/>
  <c r="D23" i="4"/>
  <c r="F33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<sst xmlns="http://schemas.openxmlformats.org/spreadsheetml/2006/main" count="276" uniqueCount="119">
  <si>
    <t>Suit</t>
  </si>
  <si>
    <t>Card</t>
  </si>
  <si>
    <t>Code</t>
  </si>
  <si>
    <t>A</t>
  </si>
  <si>
    <t>T</t>
  </si>
  <si>
    <t>J</t>
  </si>
  <si>
    <t>Q</t>
  </si>
  <si>
    <t>K</t>
  </si>
  <si>
    <t>C</t>
  </si>
  <si>
    <t>Symbol</t>
  </si>
  <si>
    <t>♠</t>
  </si>
  <si>
    <t>♥</t>
  </si>
  <si>
    <t>♣</t>
  </si>
  <si>
    <t>♦</t>
  </si>
  <si>
    <t>FinalStr</t>
  </si>
  <si>
    <t>A♣</t>
  </si>
  <si>
    <t>2♣</t>
  </si>
  <si>
    <t>3♣</t>
  </si>
  <si>
    <t>4♣</t>
  </si>
  <si>
    <t>5♣</t>
  </si>
  <si>
    <t>6♣</t>
  </si>
  <si>
    <t>7♣</t>
  </si>
  <si>
    <t>8♣</t>
  </si>
  <si>
    <t>9♣</t>
  </si>
  <si>
    <t>J♣</t>
  </si>
  <si>
    <t>Q♣</t>
  </si>
  <si>
    <t>K♣</t>
  </si>
  <si>
    <t>A♥</t>
  </si>
  <si>
    <t>2♥</t>
  </si>
  <si>
    <t>3♥</t>
  </si>
  <si>
    <t>4♥</t>
  </si>
  <si>
    <t>5♥</t>
  </si>
  <si>
    <t>6♥</t>
  </si>
  <si>
    <t>7♥</t>
  </si>
  <si>
    <t>8♥</t>
  </si>
  <si>
    <t>9♥</t>
  </si>
  <si>
    <t>J♥</t>
  </si>
  <si>
    <t>Q♥</t>
  </si>
  <si>
    <t>K♥</t>
  </si>
  <si>
    <t>A♠</t>
  </si>
  <si>
    <t>2♠</t>
  </si>
  <si>
    <t>3♠</t>
  </si>
  <si>
    <t>4♠</t>
  </si>
  <si>
    <t>5♠</t>
  </si>
  <si>
    <t>6♠</t>
  </si>
  <si>
    <t>7♠</t>
  </si>
  <si>
    <t>8♠</t>
  </si>
  <si>
    <t>9♠</t>
  </si>
  <si>
    <t>J♠</t>
  </si>
  <si>
    <t>Q♠</t>
  </si>
  <si>
    <t>K♠</t>
  </si>
  <si>
    <t>A♦</t>
  </si>
  <si>
    <t>2♦</t>
  </si>
  <si>
    <t>3♦</t>
  </si>
  <si>
    <t>4♦</t>
  </si>
  <si>
    <t>5♦</t>
  </si>
  <si>
    <t>6♦</t>
  </si>
  <si>
    <t>7♦</t>
  </si>
  <si>
    <t>8♦</t>
  </si>
  <si>
    <t>9♦</t>
  </si>
  <si>
    <t>J♦</t>
  </si>
  <si>
    <t>Q♦</t>
  </si>
  <si>
    <t>K♦</t>
  </si>
  <si>
    <t>10♣</t>
  </si>
  <si>
    <t>10♥</t>
  </si>
  <si>
    <t>10♠</t>
  </si>
  <si>
    <t>10♦</t>
  </si>
  <si>
    <t>My cards</t>
  </si>
  <si>
    <t>Pot</t>
  </si>
  <si>
    <t>Editing</t>
  </si>
  <si>
    <t>Last Edited</t>
  </si>
  <si>
    <t>Total players (max 9)</t>
  </si>
  <si>
    <t>Actual values of hand and pot</t>
  </si>
  <si>
    <t>6 players</t>
  </si>
  <si>
    <t>4 players</t>
  </si>
  <si>
    <t>5 players</t>
  </si>
  <si>
    <t>7 players</t>
  </si>
  <si>
    <t>8 players</t>
  </si>
  <si>
    <t>9 players</t>
  </si>
  <si>
    <t>1 player</t>
  </si>
  <si>
    <t>2 players</t>
  </si>
  <si>
    <t>3 players</t>
  </si>
  <si>
    <t>Table</t>
  </si>
  <si>
    <t>HandCode</t>
  </si>
  <si>
    <t>2p</t>
  </si>
  <si>
    <t>3p</t>
  </si>
  <si>
    <t>4p</t>
  </si>
  <si>
    <t>5p</t>
  </si>
  <si>
    <t>6p</t>
  </si>
  <si>
    <t>7p</t>
  </si>
  <si>
    <t>8p</t>
  </si>
  <si>
    <t>9p</t>
  </si>
  <si>
    <t>R</t>
  </si>
  <si>
    <t>Starting hand probability</t>
  </si>
  <si>
    <t>HandStr</t>
  </si>
  <si>
    <t>P2</t>
  </si>
  <si>
    <t>P3</t>
  </si>
  <si>
    <t>P4</t>
  </si>
  <si>
    <t>P5</t>
  </si>
  <si>
    <t>P6</t>
  </si>
  <si>
    <t>P7</t>
  </si>
  <si>
    <t>P8</t>
  </si>
  <si>
    <t>P9</t>
  </si>
  <si>
    <t>Value</t>
  </si>
  <si>
    <t>Str</t>
  </si>
  <si>
    <t>Card1No</t>
  </si>
  <si>
    <t>Card2No</t>
  </si>
  <si>
    <t>To do</t>
  </si>
  <si>
    <t>Fair</t>
  </si>
  <si>
    <t>Pos</t>
  </si>
  <si>
    <t>FS range</t>
  </si>
  <si>
    <t>Above</t>
  </si>
  <si>
    <t>Within</t>
  </si>
  <si>
    <t>Below</t>
  </si>
  <si>
    <t>Monte Carlo simulator</t>
  </si>
  <si>
    <t>Current Hand Probability</t>
  </si>
  <si>
    <t>nPlayers</t>
  </si>
  <si>
    <t>My Odds</t>
  </si>
  <si>
    <t>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</si>
</sst>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n: &quot;\ #,##0"/>
    <numFmt numFmtId="165" formatCode="&quot;W:&quot;\ 0.0%"/>
    <numFmt numFmtId="166" formatCode="&quot;L:&quot;\ 0.0%"/>
    <numFmt numFmtId="167" formatCode="&quot;T:&quot;\ 0.0%"/>
    <numFmt numFmtId="168" formatCode="0&quot;P&quot;"/>
    <numFmt numFmtId="169" formatCode="0%;;"/>
    <numFmt numFmtId="170" formatCode="&quot;P&quot;0"/>
    <numFmt numFmtId="171" formatCode="0%;;&quot;-&quot;"/>
  </numFmts>
  <fonts count="20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rgb="FF3C3C3C"/>
      <name val="Arial Unicode MS"/>
      <family val="2"/>
    </font>
    <font>
      <sz val="8"/>
      <color rgb="FFFF0000"/>
      <name val="Arial Unicode MS"/>
      <family val="2"/>
    </font>
    <font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sz val="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2B580C"/>
        <bgColor indexed="64"/>
      </patternFill>
    </fill>
    <fill>
      <patternFill patternType="solid">
        <fgColor rgb="FF489414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ck">
        <color theme="4"/>
      </right>
      <top style="thick">
        <color theme="4"/>
      </top>
      <bottom style="thin">
        <color theme="0" tint="-0.24994659260841701"/>
      </bottom>
      <diagonal/>
    </border>
    <border>
      <left style="thin">
        <color indexed="64"/>
      </left>
      <right style="thick">
        <color theme="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1"/>
      </right>
      <top style="thick">
        <color theme="4"/>
      </top>
      <bottom style="thin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173">
    <xf numFmtId="0" fontId="0" fillId="0" borderId="0" xfId="0"/>
    <xf numFmtId="0" fontId="6" fillId="2" borderId="10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vertical="center"/>
    </xf>
    <xf numFmtId="0" fontId="6" fillId="3" borderId="5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vertical="center"/>
    </xf>
    <xf numFmtId="0" fontId="6" fillId="3" borderId="8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6" fillId="0" borderId="5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8" fillId="0" borderId="2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1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164" fontId="0" fillId="5" borderId="9" xfId="0" applyNumberFormat="1" applyFill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17" fillId="4" borderId="9" xfId="0" applyFont="1" applyFill="1" applyBorder="1" applyAlignment="1">
      <alignment horizontal="center" vertical="center"/>
    </xf>
    <xf numFmtId="0" fontId="17" fillId="4" borderId="28" xfId="0" applyFont="1" applyFill="1" applyBorder="1" applyAlignment="1">
      <alignment horizontal="center" vertical="center"/>
    </xf>
    <xf numFmtId="0" fontId="17" fillId="4" borderId="29" xfId="0" applyFont="1" applyFill="1" applyBorder="1" applyAlignment="1">
      <alignment horizontal="center" vertical="center"/>
    </xf>
    <xf numFmtId="0" fontId="17" fillId="4" borderId="30" xfId="0" applyFont="1" applyFill="1" applyBorder="1" applyAlignment="1">
      <alignment horizontal="center" vertical="center"/>
    </xf>
    <xf numFmtId="0" fontId="17" fillId="4" borderId="25" xfId="0" applyFont="1" applyFill="1" applyBorder="1" applyAlignment="1">
      <alignment horizontal="center" vertical="center"/>
    </xf>
    <xf numFmtId="9" fontId="16" fillId="0" borderId="33" xfId="0" applyNumberFormat="1" applyFont="1" applyBorder="1" applyAlignment="1">
      <alignment horizontal="center" vertical="center"/>
    </xf>
    <xf numFmtId="9" fontId="16" fillId="0" borderId="24" xfId="0" applyNumberFormat="1" applyFont="1" applyBorder="1" applyAlignment="1">
      <alignment horizontal="center" vertical="center"/>
    </xf>
    <xf numFmtId="9" fontId="16" fillId="0" borderId="16" xfId="0" applyNumberFormat="1" applyFont="1" applyBorder="1" applyAlignment="1">
      <alignment horizontal="center" vertical="center"/>
    </xf>
    <xf numFmtId="9" fontId="16" fillId="0" borderId="17" xfId="0" applyNumberFormat="1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7" fillId="4" borderId="26" xfId="0" applyFont="1" applyFill="1" applyBorder="1" applyAlignment="1">
      <alignment horizontal="center" vertical="center"/>
    </xf>
    <xf numFmtId="9" fontId="16" fillId="0" borderId="18" xfId="0" applyNumberFormat="1" applyFont="1" applyBorder="1" applyAlignment="1">
      <alignment horizontal="center" vertical="center"/>
    </xf>
    <xf numFmtId="9" fontId="16" fillId="0" borderId="32" xfId="0" applyNumberFormat="1" applyFont="1" applyBorder="1" applyAlignment="1">
      <alignment horizontal="center" vertical="center"/>
    </xf>
    <xf numFmtId="9" fontId="16" fillId="0" borderId="23" xfId="0" applyNumberFormat="1" applyFont="1" applyBorder="1" applyAlignment="1">
      <alignment horizontal="center" vertical="center"/>
    </xf>
    <xf numFmtId="9" fontId="16" fillId="0" borderId="19" xfId="0" applyNumberFormat="1" applyFont="1" applyBorder="1" applyAlignment="1">
      <alignment horizontal="center" vertical="center"/>
    </xf>
    <xf numFmtId="9" fontId="16" fillId="0" borderId="20" xfId="0" applyNumberFormat="1" applyFont="1" applyBorder="1" applyAlignment="1">
      <alignment horizontal="center" vertical="center"/>
    </xf>
    <xf numFmtId="9" fontId="16" fillId="0" borderId="31" xfId="0" applyNumberFormat="1" applyFont="1" applyBorder="1" applyAlignment="1">
      <alignment horizontal="center" vertical="center"/>
    </xf>
    <xf numFmtId="0" fontId="17" fillId="4" borderId="27" xfId="0" applyFont="1" applyFill="1" applyBorder="1" applyAlignment="1">
      <alignment horizontal="center" vertical="center"/>
    </xf>
    <xf numFmtId="9" fontId="16" fillId="0" borderId="21" xfId="0" applyNumberFormat="1" applyFont="1" applyBorder="1" applyAlignment="1">
      <alignment horizontal="center" vertical="center"/>
    </xf>
    <xf numFmtId="9" fontId="16" fillId="0" borderId="22" xfId="0" applyNumberFormat="1" applyFont="1" applyBorder="1" applyAlignment="1">
      <alignment horizontal="center" vertical="center"/>
    </xf>
    <xf numFmtId="9" fontId="16" fillId="0" borderId="34" xfId="0" applyNumberFormat="1" applyFont="1" applyBorder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9" fontId="16" fillId="0" borderId="4" xfId="1" applyFont="1" applyBorder="1" applyAlignment="1">
      <alignment horizontal="center" vertical="center"/>
    </xf>
    <xf numFmtId="9" fontId="16" fillId="0" borderId="0" xfId="1" applyFont="1" applyBorder="1" applyAlignment="1">
      <alignment horizontal="center" vertical="center"/>
    </xf>
    <xf numFmtId="9" fontId="16" fillId="0" borderId="5" xfId="1" applyFont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16" fillId="6" borderId="5" xfId="0" applyFont="1" applyFill="1" applyBorder="1" applyAlignment="1">
      <alignment horizontal="center" vertical="center"/>
    </xf>
    <xf numFmtId="9" fontId="16" fillId="6" borderId="4" xfId="1" applyFont="1" applyFill="1" applyBorder="1" applyAlignment="1">
      <alignment horizontal="center" vertical="center"/>
    </xf>
    <xf numFmtId="9" fontId="16" fillId="6" borderId="0" xfId="1" applyFont="1" applyFill="1" applyBorder="1" applyAlignment="1">
      <alignment horizontal="center" vertical="center"/>
    </xf>
    <xf numFmtId="9" fontId="16" fillId="6" borderId="5" xfId="1" applyFont="1" applyFill="1" applyBorder="1" applyAlignment="1">
      <alignment horizontal="center" vertical="center"/>
    </xf>
    <xf numFmtId="0" fontId="16" fillId="6" borderId="6" xfId="0" applyFont="1" applyFill="1" applyBorder="1" applyAlignment="1">
      <alignment horizontal="center" vertical="center"/>
    </xf>
    <xf numFmtId="0" fontId="16" fillId="6" borderId="8" xfId="0" applyFont="1" applyFill="1" applyBorder="1" applyAlignment="1">
      <alignment horizontal="center" vertical="center"/>
    </xf>
    <xf numFmtId="9" fontId="16" fillId="6" borderId="6" xfId="1" applyFont="1" applyFill="1" applyBorder="1" applyAlignment="1">
      <alignment horizontal="center" vertical="center"/>
    </xf>
    <xf numFmtId="9" fontId="16" fillId="6" borderId="7" xfId="1" applyFont="1" applyFill="1" applyBorder="1" applyAlignment="1">
      <alignment horizontal="center" vertical="center"/>
    </xf>
    <xf numFmtId="9" fontId="16" fillId="6" borderId="8" xfId="1" applyFont="1" applyFill="1" applyBorder="1" applyAlignment="1">
      <alignment horizontal="center" vertical="center"/>
    </xf>
    <xf numFmtId="0" fontId="17" fillId="4" borderId="13" xfId="0" applyFont="1" applyFill="1" applyBorder="1" applyAlignment="1">
      <alignment horizontal="center" vertical="center"/>
    </xf>
    <xf numFmtId="0" fontId="17" fillId="4" borderId="14" xfId="0" applyFont="1" applyFill="1" applyBorder="1" applyAlignment="1">
      <alignment horizontal="center" vertical="center"/>
    </xf>
    <xf numFmtId="0" fontId="17" fillId="4" borderId="15" xfId="0" applyFont="1" applyFill="1" applyBorder="1" applyAlignment="1">
      <alignment horizontal="center" vertical="center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14" fillId="4" borderId="13" xfId="0" applyFont="1" applyFill="1" applyBorder="1" applyAlignment="1">
      <alignment vertical="center"/>
    </xf>
    <xf numFmtId="0" fontId="14" fillId="4" borderId="15" xfId="0" applyFont="1" applyFill="1" applyBorder="1" applyAlignment="1">
      <alignment horizontal="center" vertical="center"/>
    </xf>
    <xf numFmtId="0" fontId="14" fillId="4" borderId="9" xfId="0" applyFont="1" applyFill="1" applyBorder="1" applyAlignment="1">
      <alignment horizontal="center" vertical="center"/>
    </xf>
    <xf numFmtId="168" fontId="6" fillId="0" borderId="4" xfId="0" applyNumberFormat="1" applyFont="1" applyBorder="1" applyAlignment="1">
      <alignment horizontal="left" vertical="center"/>
    </xf>
    <xf numFmtId="168" fontId="6" fillId="6" borderId="4" xfId="0" applyNumberFormat="1" applyFont="1" applyFill="1" applyBorder="1" applyAlignment="1">
      <alignment horizontal="left" vertical="center"/>
    </xf>
    <xf numFmtId="168" fontId="6" fillId="6" borderId="6" xfId="0" applyNumberFormat="1" applyFont="1" applyFill="1" applyBorder="1" applyAlignment="1">
      <alignment horizontal="left" vertical="center"/>
    </xf>
    <xf numFmtId="0" fontId="16" fillId="6" borderId="5" xfId="0" applyNumberFormat="1" applyFont="1" applyFill="1" applyBorder="1" applyAlignment="1">
      <alignment horizontal="center" vertical="center"/>
    </xf>
    <xf numFmtId="0" fontId="16" fillId="0" borderId="5" xfId="0" applyNumberFormat="1" applyFont="1" applyBorder="1" applyAlignment="1">
      <alignment horizontal="center" vertical="center"/>
    </xf>
    <xf numFmtId="0" fontId="16" fillId="6" borderId="8" xfId="0" applyNumberFormat="1" applyFont="1" applyFill="1" applyBorder="1" applyAlignment="1">
      <alignment horizontal="center" vertical="center"/>
    </xf>
    <xf numFmtId="169" fontId="6" fillId="0" borderId="11" xfId="1" applyNumberFormat="1" applyFont="1" applyBorder="1" applyAlignment="1">
      <alignment horizontal="center" vertical="center"/>
    </xf>
    <xf numFmtId="169" fontId="6" fillId="0" borderId="4" xfId="1" applyNumberFormat="1" applyFont="1" applyBorder="1" applyAlignment="1">
      <alignment horizontal="center" vertical="center"/>
    </xf>
    <xf numFmtId="169" fontId="6" fillId="7" borderId="0" xfId="1" applyNumberFormat="1" applyFont="1" applyFill="1" applyBorder="1" applyAlignment="1">
      <alignment horizontal="center" vertical="center"/>
    </xf>
    <xf numFmtId="169" fontId="6" fillId="7" borderId="5" xfId="1" applyNumberFormat="1" applyFont="1" applyFill="1" applyBorder="1" applyAlignment="1">
      <alignment horizontal="center" vertical="center"/>
    </xf>
    <xf numFmtId="169" fontId="6" fillId="6" borderId="11" xfId="1" applyNumberFormat="1" applyFont="1" applyFill="1" applyBorder="1" applyAlignment="1">
      <alignment horizontal="center" vertical="center"/>
    </xf>
    <xf numFmtId="169" fontId="6" fillId="6" borderId="4" xfId="1" applyNumberFormat="1" applyFont="1" applyFill="1" applyBorder="1" applyAlignment="1">
      <alignment horizontal="center" vertical="center"/>
    </xf>
    <xf numFmtId="169" fontId="6" fillId="6" borderId="0" xfId="1" applyNumberFormat="1" applyFont="1" applyFill="1" applyBorder="1" applyAlignment="1">
      <alignment horizontal="center" vertical="center"/>
    </xf>
    <xf numFmtId="169" fontId="6" fillId="0" borderId="0" xfId="1" applyNumberFormat="1" applyFont="1" applyBorder="1" applyAlignment="1">
      <alignment horizontal="center" vertical="center"/>
    </xf>
    <xf numFmtId="169" fontId="6" fillId="6" borderId="6" xfId="1" applyNumberFormat="1" applyFont="1" applyFill="1" applyBorder="1" applyAlignment="1">
      <alignment horizontal="center" vertical="center"/>
    </xf>
    <xf numFmtId="169" fontId="6" fillId="6" borderId="7" xfId="1" applyNumberFormat="1" applyFont="1" applyFill="1" applyBorder="1" applyAlignment="1">
      <alignment horizontal="center" vertical="center"/>
    </xf>
    <xf numFmtId="169" fontId="6" fillId="6" borderId="8" xfId="1" applyNumberFormat="1" applyFont="1" applyFill="1" applyBorder="1" applyAlignment="1">
      <alignment horizontal="center" vertical="center"/>
    </xf>
    <xf numFmtId="9" fontId="18" fillId="0" borderId="33" xfId="0" applyNumberFormat="1" applyFont="1" applyBorder="1" applyAlignment="1">
      <alignment horizontal="center" vertical="center"/>
    </xf>
    <xf numFmtId="9" fontId="18" fillId="0" borderId="24" xfId="0" applyNumberFormat="1" applyFont="1" applyBorder="1" applyAlignment="1">
      <alignment horizontal="center" vertical="center"/>
    </xf>
    <xf numFmtId="9" fontId="18" fillId="0" borderId="16" xfId="0" applyNumberFormat="1" applyFont="1" applyBorder="1" applyAlignment="1">
      <alignment horizontal="center" vertical="center"/>
    </xf>
    <xf numFmtId="9" fontId="18" fillId="0" borderId="17" xfId="0" applyNumberFormat="1" applyFont="1" applyBorder="1" applyAlignment="1">
      <alignment horizontal="center" vertical="center"/>
    </xf>
    <xf numFmtId="9" fontId="18" fillId="0" borderId="18" xfId="0" applyNumberFormat="1" applyFont="1" applyBorder="1" applyAlignment="1">
      <alignment horizontal="center" vertical="center"/>
    </xf>
    <xf numFmtId="9" fontId="18" fillId="0" borderId="32" xfId="0" applyNumberFormat="1" applyFont="1" applyBorder="1" applyAlignment="1">
      <alignment horizontal="center" vertical="center"/>
    </xf>
    <xf numFmtId="9" fontId="18" fillId="0" borderId="23" xfId="0" applyNumberFormat="1" applyFont="1" applyBorder="1" applyAlignment="1">
      <alignment horizontal="center" vertical="center"/>
    </xf>
    <xf numFmtId="9" fontId="18" fillId="0" borderId="19" xfId="0" applyNumberFormat="1" applyFont="1" applyBorder="1" applyAlignment="1">
      <alignment horizontal="center" vertical="center"/>
    </xf>
    <xf numFmtId="9" fontId="18" fillId="0" borderId="20" xfId="0" applyNumberFormat="1" applyFont="1" applyBorder="1" applyAlignment="1">
      <alignment horizontal="center" vertical="center"/>
    </xf>
    <xf numFmtId="9" fontId="18" fillId="0" borderId="31" xfId="0" applyNumberFormat="1" applyFont="1" applyBorder="1" applyAlignment="1">
      <alignment horizontal="center" vertical="center"/>
    </xf>
    <xf numFmtId="9" fontId="18" fillId="0" borderId="21" xfId="0" applyNumberFormat="1" applyFont="1" applyBorder="1" applyAlignment="1">
      <alignment horizontal="center" vertical="center"/>
    </xf>
    <xf numFmtId="9" fontId="18" fillId="0" borderId="22" xfId="0" applyNumberFormat="1" applyFont="1" applyBorder="1" applyAlignment="1">
      <alignment horizontal="center" vertical="center"/>
    </xf>
    <xf numFmtId="9" fontId="18" fillId="0" borderId="34" xfId="0" applyNumberFormat="1" applyFont="1" applyBorder="1" applyAlignment="1">
      <alignment horizontal="center" vertical="center"/>
    </xf>
    <xf numFmtId="169" fontId="6" fillId="6" borderId="12" xfId="1" applyNumberFormat="1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left" vertical="center"/>
    </xf>
    <xf numFmtId="0" fontId="14" fillId="4" borderId="2" xfId="0" applyFont="1" applyFill="1" applyBorder="1" applyAlignment="1">
      <alignment horizontal="left" vertical="center"/>
    </xf>
    <xf numFmtId="0" fontId="14" fillId="4" borderId="15" xfId="0" applyFont="1" applyFill="1" applyBorder="1" applyAlignment="1">
      <alignment horizontal="left" vertical="center"/>
    </xf>
    <xf numFmtId="0" fontId="14" fillId="4" borderId="14" xfId="0" applyFont="1" applyFill="1" applyBorder="1" applyAlignment="1">
      <alignment horizontal="left" vertical="center"/>
    </xf>
    <xf numFmtId="0" fontId="3" fillId="0" borderId="0" xfId="0" applyFont="1"/>
    <xf numFmtId="0" fontId="6" fillId="0" borderId="11" xfId="1" applyNumberFormat="1" applyFont="1" applyBorder="1" applyAlignment="1">
      <alignment horizontal="center" vertical="center"/>
    </xf>
    <xf numFmtId="0" fontId="6" fillId="6" borderId="11" xfId="1" applyNumberFormat="1" applyFont="1" applyFill="1" applyBorder="1" applyAlignment="1">
      <alignment horizontal="center" vertical="center"/>
    </xf>
    <xf numFmtId="0" fontId="6" fillId="6" borderId="12" xfId="1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15" fillId="0" borderId="7" xfId="0" applyFont="1" applyFill="1" applyBorder="1" applyAlignment="1">
      <alignment horizontal="left" vertical="center"/>
    </xf>
    <xf numFmtId="9" fontId="6" fillId="0" borderId="3" xfId="1" applyFont="1" applyBorder="1" applyAlignment="1">
      <alignment horizontal="center" vertical="center"/>
    </xf>
    <xf numFmtId="0" fontId="6" fillId="0" borderId="13" xfId="0" applyFont="1" applyBorder="1" applyAlignment="1">
      <alignment vertical="center"/>
    </xf>
    <xf numFmtId="0" fontId="19" fillId="4" borderId="13" xfId="0" applyFont="1" applyFill="1" applyBorder="1" applyAlignment="1">
      <alignment vertical="center"/>
    </xf>
    <xf numFmtId="0" fontId="19" fillId="4" borderId="14" xfId="0" applyFont="1" applyFill="1" applyBorder="1" applyAlignment="1">
      <alignment vertical="center"/>
    </xf>
    <xf numFmtId="9" fontId="6" fillId="0" borderId="9" xfId="0" applyNumberFormat="1" applyFont="1" applyBorder="1" applyAlignment="1">
      <alignment horizontal="center" vertical="center"/>
    </xf>
    <xf numFmtId="171" fontId="6" fillId="0" borderId="14" xfId="1" applyNumberFormat="1" applyFont="1" applyBorder="1" applyAlignment="1">
      <alignment horizontal="center" vertical="center"/>
    </xf>
    <xf numFmtId="169" fontId="6" fillId="0" borderId="3" xfId="1" applyNumberFormat="1" applyFont="1" applyBorder="1" applyAlignment="1">
      <alignment horizontal="center" vertical="center"/>
    </xf>
    <xf numFmtId="169" fontId="6" fillId="0" borderId="5" xfId="1" applyNumberFormat="1" applyFont="1" applyBorder="1" applyAlignment="1">
      <alignment horizontal="center" vertical="center"/>
    </xf>
    <xf numFmtId="169" fontId="6" fillId="0" borderId="8" xfId="1" applyNumberFormat="1" applyFont="1" applyBorder="1" applyAlignment="1">
      <alignment horizontal="center" vertical="center"/>
    </xf>
    <xf numFmtId="169" fontId="6" fillId="0" borderId="5" xfId="0" applyNumberFormat="1" applyFont="1" applyBorder="1" applyAlignment="1">
      <alignment horizontal="center" vertical="center"/>
    </xf>
    <xf numFmtId="169" fontId="6" fillId="0" borderId="8" xfId="0" applyNumberFormat="1" applyFont="1" applyBorder="1" applyAlignment="1">
      <alignment horizontal="center" vertical="center"/>
    </xf>
    <xf numFmtId="0" fontId="6" fillId="0" borderId="9" xfId="0" applyFont="1" applyBorder="1" applyAlignment="1">
      <alignment vertical="center"/>
    </xf>
    <xf numFmtId="0" fontId="6" fillId="0" borderId="9" xfId="0" applyFont="1" applyBorder="1" applyAlignment="1">
      <alignment horizontal="center" vertical="center"/>
    </xf>
    <xf numFmtId="170" fontId="6" fillId="0" borderId="10" xfId="0" applyNumberFormat="1" applyFont="1" applyBorder="1" applyAlignment="1">
      <alignment horizontal="center" vertical="center"/>
    </xf>
    <xf numFmtId="170" fontId="6" fillId="0" borderId="11" xfId="0" applyNumberFormat="1" applyFont="1" applyBorder="1" applyAlignment="1">
      <alignment horizontal="center" vertical="center"/>
    </xf>
    <xf numFmtId="170" fontId="6" fillId="0" borderId="12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0" fontId="0" fillId="8" borderId="0" xfId="0" applyFill="1"/>
    <xf numFmtId="0" fontId="2" fillId="8" borderId="0" xfId="0" applyFont="1" applyFill="1"/>
    <xf numFmtId="0" fontId="0" fillId="5" borderId="9" xfId="0" applyFill="1" applyBorder="1" applyAlignment="1">
      <alignment horizontal="center"/>
    </xf>
    <xf numFmtId="0" fontId="4" fillId="5" borderId="9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0" fillId="9" borderId="1" xfId="0" applyFill="1" applyBorder="1"/>
    <xf numFmtId="0" fontId="0" fillId="9" borderId="2" xfId="0" applyFill="1" applyBorder="1"/>
    <xf numFmtId="0" fontId="0" fillId="9" borderId="3" xfId="0" applyFill="1" applyBorder="1"/>
    <xf numFmtId="0" fontId="11" fillId="9" borderId="4" xfId="0" applyFont="1" applyFill="1" applyBorder="1"/>
    <xf numFmtId="0" fontId="0" fillId="9" borderId="0" xfId="0" applyFill="1" applyBorder="1"/>
    <xf numFmtId="0" fontId="0" fillId="9" borderId="5" xfId="0" applyFill="1" applyBorder="1"/>
    <xf numFmtId="0" fontId="11" fillId="9" borderId="0" xfId="0" applyFont="1" applyFill="1" applyBorder="1"/>
    <xf numFmtId="0" fontId="11" fillId="9" borderId="6" xfId="0" applyFont="1" applyFill="1" applyBorder="1"/>
    <xf numFmtId="0" fontId="11" fillId="9" borderId="7" xfId="0" applyFont="1" applyFill="1" applyBorder="1"/>
    <xf numFmtId="0" fontId="0" fillId="9" borderId="8" xfId="0" applyFill="1" applyBorder="1"/>
    <xf numFmtId="165" fontId="12" fillId="9" borderId="13" xfId="0" applyNumberFormat="1" applyFont="1" applyFill="1" applyBorder="1" applyAlignment="1">
      <alignment horizontal="center"/>
    </xf>
    <xf numFmtId="167" fontId="12" fillId="9" borderId="15" xfId="0" applyNumberFormat="1" applyFont="1" applyFill="1" applyBorder="1" applyAlignment="1">
      <alignment horizontal="center"/>
    </xf>
    <xf numFmtId="166" fontId="12" fillId="9" borderId="14" xfId="0" applyNumberFormat="1" applyFont="1" applyFill="1" applyBorder="1" applyAlignment="1">
      <alignment horizontal="center"/>
    </xf>
    <xf numFmtId="0" fontId="0" fillId="9" borderId="4" xfId="0" applyFill="1" applyBorder="1"/>
    <xf numFmtId="0" fontId="11" fillId="9" borderId="0" xfId="0" applyFont="1" applyFill="1" applyBorder="1" applyAlignment="1">
      <alignment horizontal="left" vertical="center"/>
    </xf>
    <xf numFmtId="0" fontId="0" fillId="9" borderId="6" xfId="0" applyFill="1" applyBorder="1"/>
    <xf numFmtId="165" fontId="12" fillId="9" borderId="7" xfId="0" applyNumberFormat="1" applyFont="1" applyFill="1" applyBorder="1" applyAlignment="1">
      <alignment horizontal="center"/>
    </xf>
    <xf numFmtId="167" fontId="12" fillId="9" borderId="7" xfId="0" applyNumberFormat="1" applyFont="1" applyFill="1" applyBorder="1" applyAlignment="1">
      <alignment horizontal="center"/>
    </xf>
    <xf numFmtId="166" fontId="12" fillId="9" borderId="7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7">
    <dxf>
      <font>
        <strike val="0"/>
        <outline val="0"/>
        <shadow val="0"/>
        <u val="none"/>
        <vertAlign val="baseline"/>
        <sz val="8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489414"/>
      <color rgb="FF2B580C"/>
      <color rgb="FF00863D"/>
      <color rgb="FF004445"/>
      <color rgb="FF639A67"/>
      <color rgb="FF100690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400" b="1">
                <a:solidFill>
                  <a:schemeClr val="bg1"/>
                </a:solidFill>
              </a:rPr>
              <a:t>Starting hand win rate</a:t>
            </a:r>
          </a:p>
        </c:rich>
      </c:tx>
      <c:layout>
        <c:manualLayout>
          <c:xMode val="edge"/>
          <c:yMode val="edge"/>
          <c:x val="1.2489063867017572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7485133198929843E-2"/>
          <c:y val="0.12468524514855478"/>
          <c:w val="0.88708813572216516"/>
          <c:h val="0.84877690841899978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100690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Aux!$A$26:$A$33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Aux!$B$26:$B$33</c:f>
              <c:numCache>
                <c:formatCode>0%;;</c:formatCode>
                <c:ptCount val="8"/>
                <c:pt idx="0">
                  <c:v>0.67079999999999995</c:v>
                </c:pt>
                <c:pt idx="1">
                  <c:v>0.45019999999999999</c:v>
                </c:pt>
                <c:pt idx="2">
                  <c:v>0.34339999999999998</c:v>
                </c:pt>
                <c:pt idx="3">
                  <c:v>0.2838</c:v>
                </c:pt>
                <c:pt idx="4">
                  <c:v>0.23469999999999999</c:v>
                </c:pt>
                <c:pt idx="5">
                  <c:v>0.17849999999999999</c:v>
                </c:pt>
                <c:pt idx="6">
                  <c:v>0.17230000000000001</c:v>
                </c:pt>
                <c:pt idx="7">
                  <c:v>0.1603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FF-43FE-832C-9FAF1B898D77}"/>
            </c:ext>
          </c:extLst>
        </c:ser>
        <c:ser>
          <c:idx val="1"/>
          <c:order val="1"/>
          <c:spPr>
            <a:solidFill>
              <a:schemeClr val="accent4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Aux!$A$26:$A$33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Aux!$C$26:$C$33</c:f>
              <c:numCache>
                <c:formatCode>0%;;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FF-43FE-832C-9FAF1B898D77}"/>
            </c:ext>
          </c:extLst>
        </c:ser>
        <c:ser>
          <c:idx val="2"/>
          <c:order val="2"/>
          <c:spPr>
            <a:solidFill>
              <a:srgbClr val="C00000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Aux!$A$26:$A$33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Aux!$D$26:$D$33</c:f>
              <c:numCache>
                <c:formatCode>0%;;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FF-43FE-832C-9FAF1B898D77}"/>
            </c:ext>
          </c:extLst>
        </c:ser>
        <c:ser>
          <c:idx val="3"/>
          <c:order val="3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Aux!$A$26:$A$33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Aux!$E$26:$E$33</c:f>
              <c:numCache>
                <c:formatCode>0%;;</c:formatCode>
                <c:ptCount val="8"/>
                <c:pt idx="0">
                  <c:v>0.32920000000000005</c:v>
                </c:pt>
                <c:pt idx="1">
                  <c:v>0.27490000000000003</c:v>
                </c:pt>
                <c:pt idx="2">
                  <c:v>0.21886666666666668</c:v>
                </c:pt>
                <c:pt idx="3">
                  <c:v>0.17904999999999999</c:v>
                </c:pt>
                <c:pt idx="4">
                  <c:v>0.15306</c:v>
                </c:pt>
                <c:pt idx="5">
                  <c:v>0.13691666666666666</c:v>
                </c:pt>
                <c:pt idx="6">
                  <c:v>0.11824285714285714</c:v>
                </c:pt>
                <c:pt idx="7">
                  <c:v>0.1049625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FF-43FE-832C-9FAF1B898D77}"/>
            </c:ext>
          </c:extLst>
        </c:ser>
        <c:ser>
          <c:idx val="4"/>
          <c:order val="4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Aux!$A$26:$A$33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Aux!$F$26:$F$33</c:f>
              <c:numCache>
                <c:formatCode>0%;;</c:formatCode>
                <c:ptCount val="8"/>
                <c:pt idx="1">
                  <c:v>0.27490000000000003</c:v>
                </c:pt>
                <c:pt idx="2">
                  <c:v>0.21886666666666668</c:v>
                </c:pt>
                <c:pt idx="3">
                  <c:v>0.17904999999999999</c:v>
                </c:pt>
                <c:pt idx="4">
                  <c:v>0.15306</c:v>
                </c:pt>
                <c:pt idx="5">
                  <c:v>0.13691666666666666</c:v>
                </c:pt>
                <c:pt idx="6">
                  <c:v>0.11824285714285714</c:v>
                </c:pt>
                <c:pt idx="7">
                  <c:v>0.1049625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CFF-43FE-832C-9FAF1B898D77}"/>
            </c:ext>
          </c:extLst>
        </c:ser>
        <c:ser>
          <c:idx val="5"/>
          <c:order val="5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Aux!$A$26:$A$33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Aux!$G$26:$G$33</c:f>
              <c:numCache>
                <c:formatCode>0%;;</c:formatCode>
                <c:ptCount val="8"/>
                <c:pt idx="2">
                  <c:v>0.21886666666666668</c:v>
                </c:pt>
                <c:pt idx="3">
                  <c:v>0.17904999999999999</c:v>
                </c:pt>
                <c:pt idx="4">
                  <c:v>0.15306</c:v>
                </c:pt>
                <c:pt idx="5">
                  <c:v>0.13691666666666666</c:v>
                </c:pt>
                <c:pt idx="6">
                  <c:v>0.11824285714285714</c:v>
                </c:pt>
                <c:pt idx="7">
                  <c:v>0.1049625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CFF-43FE-832C-9FAF1B898D77}"/>
            </c:ext>
          </c:extLst>
        </c:ser>
        <c:ser>
          <c:idx val="6"/>
          <c:order val="6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Aux!$A$26:$A$33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Aux!$H$26:$H$33</c:f>
              <c:numCache>
                <c:formatCode>0%;;</c:formatCode>
                <c:ptCount val="8"/>
                <c:pt idx="3">
                  <c:v>0.17904999999999999</c:v>
                </c:pt>
                <c:pt idx="4">
                  <c:v>0.15306</c:v>
                </c:pt>
                <c:pt idx="5">
                  <c:v>0.13691666666666666</c:v>
                </c:pt>
                <c:pt idx="6">
                  <c:v>0.11824285714285714</c:v>
                </c:pt>
                <c:pt idx="7">
                  <c:v>0.1049625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CFF-43FE-832C-9FAF1B898D77}"/>
            </c:ext>
          </c:extLst>
        </c:ser>
        <c:ser>
          <c:idx val="7"/>
          <c:order val="7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Aux!$A$26:$A$33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Aux!$I$26:$I$33</c:f>
              <c:numCache>
                <c:formatCode>0%;;</c:formatCode>
                <c:ptCount val="8"/>
                <c:pt idx="4">
                  <c:v>0.15306</c:v>
                </c:pt>
                <c:pt idx="5">
                  <c:v>0.13691666666666666</c:v>
                </c:pt>
                <c:pt idx="6">
                  <c:v>0.11824285714285714</c:v>
                </c:pt>
                <c:pt idx="7">
                  <c:v>0.1049625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CFF-43FE-832C-9FAF1B898D77}"/>
            </c:ext>
          </c:extLst>
        </c:ser>
        <c:ser>
          <c:idx val="8"/>
          <c:order val="8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Aux!$A$26:$A$33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Aux!$J$26:$J$33</c:f>
              <c:numCache>
                <c:formatCode>0%;;</c:formatCode>
                <c:ptCount val="8"/>
                <c:pt idx="5">
                  <c:v>0.13691666666666666</c:v>
                </c:pt>
                <c:pt idx="6">
                  <c:v>0.11824285714285714</c:v>
                </c:pt>
                <c:pt idx="7">
                  <c:v>0.1049625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CFF-43FE-832C-9FAF1B898D77}"/>
            </c:ext>
          </c:extLst>
        </c:ser>
        <c:ser>
          <c:idx val="9"/>
          <c:order val="9"/>
          <c:spPr>
            <a:solidFill>
              <a:schemeClr val="bg1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Aux!$A$26:$A$33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Aux!$K$26:$K$33</c:f>
              <c:numCache>
                <c:formatCode>0%;;</c:formatCode>
                <c:ptCount val="8"/>
                <c:pt idx="6">
                  <c:v>0.11824285714285714</c:v>
                </c:pt>
                <c:pt idx="7">
                  <c:v>0.1049625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CFF-43FE-832C-9FAF1B898D77}"/>
            </c:ext>
          </c:extLst>
        </c:ser>
        <c:ser>
          <c:idx val="10"/>
          <c:order val="10"/>
          <c:spPr>
            <a:solidFill>
              <a:schemeClr val="bg1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Aux!$A$26:$A$33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Aux!$L$26:$L$33</c:f>
              <c:numCache>
                <c:formatCode>0%;;</c:formatCode>
                <c:ptCount val="8"/>
                <c:pt idx="7">
                  <c:v>0.1049625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CFF-43FE-832C-9FAF1B898D7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924265152"/>
        <c:axId val="1924282944"/>
      </c:barChart>
      <c:catAx>
        <c:axId val="1924265152"/>
        <c:scaling>
          <c:orientation val="minMax"/>
        </c:scaling>
        <c:delete val="0"/>
        <c:axPos val="l"/>
        <c:numFmt formatCode="0&quot;P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4282944"/>
        <c:crosses val="autoZero"/>
        <c:auto val="1"/>
        <c:lblAlgn val="ctr"/>
        <c:lblOffset val="100"/>
        <c:noMultiLvlLbl val="0"/>
      </c:catAx>
      <c:valAx>
        <c:axId val="1924282944"/>
        <c:scaling>
          <c:orientation val="minMax"/>
          <c:max val="1"/>
        </c:scaling>
        <c:delete val="1"/>
        <c:axPos val="b"/>
        <c:numFmt formatCode="0%;;" sourceLinked="1"/>
        <c:majorTickMark val="out"/>
        <c:minorTickMark val="none"/>
        <c:tickLblPos val="nextTo"/>
        <c:crossAx val="192426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400" b="1">
                <a:solidFill>
                  <a:schemeClr val="bg1"/>
                </a:solidFill>
              </a:rPr>
              <a:t>Current table</a:t>
            </a:r>
          </a:p>
          <a:p>
            <a:pPr algn="l">
              <a:defRPr sz="1400" b="1">
                <a:solidFill>
                  <a:schemeClr val="bg1"/>
                </a:solidFill>
              </a:defRPr>
            </a:pPr>
            <a:r>
              <a:rPr lang="pt-BR" sz="1400" b="1">
                <a:solidFill>
                  <a:schemeClr val="bg1"/>
                </a:solidFill>
              </a:rPr>
              <a:t>win rate</a:t>
            </a:r>
          </a:p>
        </c:rich>
      </c:tx>
      <c:layout>
        <c:manualLayout>
          <c:xMode val="edge"/>
          <c:yMode val="edge"/>
          <c:x val="4.0599097602648775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733157290245316E-2"/>
          <c:y val="3.4666662299213148E-2"/>
          <c:w val="0.88076533793917999"/>
          <c:h val="0.93066667540157388"/>
        </c:manualLayout>
      </c:layout>
      <c:doughnutChart>
        <c:varyColors val="1"/>
        <c:ser>
          <c:idx val="0"/>
          <c:order val="0"/>
          <c:spPr>
            <a:ln w="9525">
              <a:solidFill>
                <a:sysClr val="windowText" lastClr="000000"/>
              </a:solidFill>
            </a:ln>
          </c:spPr>
          <c:dPt>
            <c:idx val="0"/>
            <c:bubble3D val="0"/>
            <c:spPr>
              <a:solidFill>
                <a:srgbClr val="100690"/>
              </a:solidFill>
              <a:ln w="9525">
                <a:solidFill>
                  <a:sysClr val="windowText" lastClr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D61-4132-ACF5-E8CFAF11E696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9525">
                <a:solidFill>
                  <a:sysClr val="windowText" lastClr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D61-4132-ACF5-E8CFAF11E696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D61-4132-ACF5-E8CFAF11E696}"/>
              </c:ext>
            </c:extLst>
          </c:dPt>
          <c:dPt>
            <c:idx val="3"/>
            <c:bubble3D val="0"/>
            <c:spPr>
              <a:solidFill>
                <a:schemeClr val="bg1"/>
              </a:solidFill>
              <a:ln w="9525">
                <a:solidFill>
                  <a:sysClr val="windowText" lastClr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D61-4132-ACF5-E8CFAF11E696}"/>
              </c:ext>
            </c:extLst>
          </c:dPt>
          <c:dPt>
            <c:idx val="4"/>
            <c:bubble3D val="0"/>
            <c:spPr>
              <a:solidFill>
                <a:schemeClr val="bg1"/>
              </a:solidFill>
              <a:ln w="9525">
                <a:solidFill>
                  <a:sysClr val="windowText" lastClr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D61-4132-ACF5-E8CFAF11E696}"/>
              </c:ext>
            </c:extLst>
          </c:dPt>
          <c:dPt>
            <c:idx val="5"/>
            <c:bubble3D val="0"/>
            <c:spPr>
              <a:solidFill>
                <a:schemeClr val="bg1"/>
              </a:solidFill>
              <a:ln w="9525">
                <a:solidFill>
                  <a:sysClr val="windowText" lastClr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D61-4132-ACF5-E8CFAF11E696}"/>
              </c:ext>
            </c:extLst>
          </c:dPt>
          <c:dPt>
            <c:idx val="6"/>
            <c:bubble3D val="0"/>
            <c:spPr>
              <a:solidFill>
                <a:schemeClr val="bg1"/>
              </a:solidFill>
              <a:ln w="9525">
                <a:solidFill>
                  <a:sysClr val="windowText" lastClr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D61-4132-ACF5-E8CFAF11E696}"/>
              </c:ext>
            </c:extLst>
          </c:dPt>
          <c:dPt>
            <c:idx val="7"/>
            <c:bubble3D val="0"/>
            <c:spPr>
              <a:solidFill>
                <a:schemeClr val="bg1"/>
              </a:solidFill>
              <a:ln w="9525">
                <a:solidFill>
                  <a:sysClr val="windowText" lastClr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D61-4132-ACF5-E8CFAF11E696}"/>
              </c:ext>
            </c:extLst>
          </c:dPt>
          <c:dPt>
            <c:idx val="8"/>
            <c:bubble3D val="0"/>
            <c:spPr>
              <a:solidFill>
                <a:schemeClr val="bg1"/>
              </a:solidFill>
              <a:ln w="9525">
                <a:solidFill>
                  <a:sysClr val="windowText" lastClr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D61-4132-ACF5-E8CFAF11E696}"/>
              </c:ext>
            </c:extLst>
          </c:dPt>
          <c:dPt>
            <c:idx val="9"/>
            <c:bubble3D val="0"/>
            <c:spPr>
              <a:solidFill>
                <a:schemeClr val="bg1"/>
              </a:solidFill>
              <a:ln w="9525">
                <a:solidFill>
                  <a:sysClr val="windowText" lastClr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D61-4132-ACF5-E8CFAF11E696}"/>
              </c:ext>
            </c:extLst>
          </c:dPt>
          <c:dPt>
            <c:idx val="10"/>
            <c:bubble3D val="0"/>
            <c:spPr>
              <a:solidFill>
                <a:schemeClr val="bg1"/>
              </a:solidFill>
              <a:ln w="9525">
                <a:solidFill>
                  <a:sysClr val="windowText" lastClr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D61-4132-ACF5-E8CFAF11E696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7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DD61-4132-ACF5-E8CFAF11E696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7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DD61-4132-ACF5-E8CFAF11E6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Aux!$B$40:$B$50</c:f>
              <c:numCache>
                <c:formatCode>0%;;</c:formatCode>
                <c:ptCount val="11"/>
                <c:pt idx="0">
                  <c:v>0.23499999999999999</c:v>
                </c:pt>
                <c:pt idx="1">
                  <c:v>0</c:v>
                </c:pt>
                <c:pt idx="2">
                  <c:v>0</c:v>
                </c:pt>
                <c:pt idx="3">
                  <c:v>0.1275</c:v>
                </c:pt>
                <c:pt idx="4">
                  <c:v>0.1275</c:v>
                </c:pt>
                <c:pt idx="5">
                  <c:v>0.1275</c:v>
                </c:pt>
                <c:pt idx="6">
                  <c:v>0.1275</c:v>
                </c:pt>
                <c:pt idx="7">
                  <c:v>0.1275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D61-4132-ACF5-E8CFAF11E69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Aux!$A$2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chart" Target="../charts/chart1.xml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chart" Target="../charts/chart2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197102</xdr:colOff>
      <xdr:row>8</xdr:row>
      <xdr:rowOff>83519</xdr:rowOff>
    </xdr:from>
    <xdr:to>
      <xdr:col>13</xdr:col>
      <xdr:colOff>86731</xdr:colOff>
      <xdr:row>27</xdr:row>
      <xdr:rowOff>155889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97102" y="1109288"/>
          <a:ext cx="8300937" cy="3831082"/>
          <a:chOff x="19701" y="759788"/>
          <a:chExt cx="8943501" cy="4188163"/>
        </a:xfrm>
      </xdr:grpSpPr>
      <xdr:pic macro="[0]!placeCard">
        <xdr:nvPicPr>
          <xdr:cNvPr id="3" name="Card01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01" y="759788"/>
            <a:ext cx="677400" cy="1021216"/>
          </a:xfrm>
          <a:prstGeom prst="rect">
            <a:avLst/>
          </a:prstGeom>
        </xdr:spPr>
      </xdr:pic>
      <xdr:pic macro="[0]!placeCard">
        <xdr:nvPicPr>
          <xdr:cNvPr id="11" name="Card02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8542" y="759788"/>
            <a:ext cx="677400" cy="1027849"/>
          </a:xfrm>
          <a:prstGeom prst="rect">
            <a:avLst/>
          </a:prstGeom>
        </xdr:spPr>
      </xdr:pic>
      <xdr:pic macro="[0]!placeCard">
        <xdr:nvPicPr>
          <xdr:cNvPr id="19" name="Card03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97384" y="759788"/>
            <a:ext cx="677400" cy="1027848"/>
          </a:xfrm>
          <a:prstGeom prst="rect">
            <a:avLst/>
          </a:prstGeom>
        </xdr:spPr>
      </xdr:pic>
      <xdr:pic macro="[0]!placeCard">
        <xdr:nvPicPr>
          <xdr:cNvPr id="27" name="Card04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86225" y="759788"/>
            <a:ext cx="677400" cy="1027852"/>
          </a:xfrm>
          <a:prstGeom prst="rect">
            <a:avLst/>
          </a:prstGeom>
        </xdr:spPr>
      </xdr:pic>
      <xdr:pic macro="[0]!placeCard">
        <xdr:nvPicPr>
          <xdr:cNvPr id="35" name="Card05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75067" y="759788"/>
            <a:ext cx="677400" cy="1035721"/>
          </a:xfrm>
          <a:prstGeom prst="rect">
            <a:avLst/>
          </a:prstGeom>
        </xdr:spPr>
      </xdr:pic>
      <xdr:pic macro="[0]!placeCard">
        <xdr:nvPicPr>
          <xdr:cNvPr id="43" name="Card06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3908" y="759788"/>
            <a:ext cx="677400" cy="1027852"/>
          </a:xfrm>
          <a:prstGeom prst="rect">
            <a:avLst/>
          </a:prstGeom>
        </xdr:spPr>
      </xdr:pic>
      <xdr:pic macro="[0]!placeCard">
        <xdr:nvPicPr>
          <xdr:cNvPr id="51" name="Card07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749" y="759788"/>
            <a:ext cx="677400" cy="1018044"/>
          </a:xfrm>
          <a:prstGeom prst="rect">
            <a:avLst/>
          </a:prstGeom>
        </xdr:spPr>
      </xdr:pic>
      <xdr:pic macro="[0]!placeCard">
        <xdr:nvPicPr>
          <xdr:cNvPr id="59" name="Card0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41591" y="759788"/>
            <a:ext cx="677400" cy="1018044"/>
          </a:xfrm>
          <a:prstGeom prst="rect">
            <a:avLst/>
          </a:prstGeom>
        </xdr:spPr>
      </xdr:pic>
      <xdr:pic macro="[0]!placeCard">
        <xdr:nvPicPr>
          <xdr:cNvPr id="67" name="Card09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30432" y="759788"/>
            <a:ext cx="677400" cy="1025509"/>
          </a:xfrm>
          <a:prstGeom prst="rect">
            <a:avLst/>
          </a:prstGeom>
        </xdr:spPr>
      </xdr:pic>
      <xdr:pic macro="[0]!placeCard">
        <xdr:nvPicPr>
          <xdr:cNvPr id="83" name="Card10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219274" y="759788"/>
            <a:ext cx="677400" cy="1034208"/>
          </a:xfrm>
          <a:prstGeom prst="rect">
            <a:avLst/>
          </a:prstGeom>
        </xdr:spPr>
      </xdr:pic>
      <xdr:pic macro="[0]!placeCard">
        <xdr:nvPicPr>
          <xdr:cNvPr id="99" name="Card11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08115" y="759788"/>
            <a:ext cx="677400" cy="1027852"/>
          </a:xfrm>
          <a:prstGeom prst="rect">
            <a:avLst/>
          </a:prstGeom>
        </xdr:spPr>
      </xdr:pic>
      <xdr:pic macro="[0]!placeCard">
        <xdr:nvPicPr>
          <xdr:cNvPr id="91" name="Card12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6956" y="759788"/>
            <a:ext cx="677400" cy="1027842"/>
          </a:xfrm>
          <a:prstGeom prst="rect">
            <a:avLst/>
          </a:prstGeom>
        </xdr:spPr>
      </xdr:pic>
      <xdr:pic macro="[0]!placeCard">
        <xdr:nvPicPr>
          <xdr:cNvPr id="75" name="Card13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85802" y="759788"/>
            <a:ext cx="677400" cy="1027848"/>
          </a:xfrm>
          <a:prstGeom prst="rect">
            <a:avLst/>
          </a:prstGeom>
        </xdr:spPr>
      </xdr:pic>
      <xdr:pic macro="[0]!placeCard">
        <xdr:nvPicPr>
          <xdr:cNvPr id="7" name="Card14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01" y="1803224"/>
            <a:ext cx="677400" cy="1044195"/>
          </a:xfrm>
          <a:prstGeom prst="rect">
            <a:avLst/>
          </a:prstGeom>
        </xdr:spPr>
      </xdr:pic>
      <xdr:pic macro="[0]!placeCard">
        <xdr:nvPicPr>
          <xdr:cNvPr id="15" name="Card15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8542" y="1801666"/>
            <a:ext cx="677400" cy="1037674"/>
          </a:xfrm>
          <a:prstGeom prst="rect">
            <a:avLst/>
          </a:prstGeom>
        </xdr:spPr>
      </xdr:pic>
      <xdr:pic macro="[0]!placeCard">
        <xdr:nvPicPr>
          <xdr:cNvPr id="23" name="Card16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97384" y="1803224"/>
            <a:ext cx="677400" cy="1021541"/>
          </a:xfrm>
          <a:prstGeom prst="rect">
            <a:avLst/>
          </a:prstGeom>
        </xdr:spPr>
      </xdr:pic>
      <xdr:pic macro="[0]!placeCard">
        <xdr:nvPicPr>
          <xdr:cNvPr id="31" name="Card17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86225" y="1803224"/>
            <a:ext cx="677400" cy="1021541"/>
          </a:xfrm>
          <a:prstGeom prst="rect">
            <a:avLst/>
          </a:prstGeom>
        </xdr:spPr>
      </xdr:pic>
      <xdr:pic macro="[0]!placeCard">
        <xdr:nvPicPr>
          <xdr:cNvPr id="39" name="Card1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75067" y="1803224"/>
            <a:ext cx="677400" cy="1041822"/>
          </a:xfrm>
          <a:prstGeom prst="rect">
            <a:avLst/>
          </a:prstGeom>
        </xdr:spPr>
      </xdr:pic>
      <xdr:pic macro="[0]!placeCard">
        <xdr:nvPicPr>
          <xdr:cNvPr id="47" name="Card19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3908" y="1803225"/>
            <a:ext cx="677400" cy="1044194"/>
          </a:xfrm>
          <a:prstGeom prst="rect">
            <a:avLst/>
          </a:prstGeom>
        </xdr:spPr>
      </xdr:pic>
      <xdr:pic macro="[0]!placeCard">
        <xdr:nvPicPr>
          <xdr:cNvPr id="55" name="Card20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749" y="1803225"/>
            <a:ext cx="677400" cy="1044194"/>
          </a:xfrm>
          <a:prstGeom prst="rect">
            <a:avLst/>
          </a:prstGeom>
        </xdr:spPr>
      </xdr:pic>
      <xdr:pic macro="[0]!placeCard">
        <xdr:nvPicPr>
          <xdr:cNvPr id="63" name="Card21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41591" y="1803225"/>
            <a:ext cx="677400" cy="1031286"/>
          </a:xfrm>
          <a:prstGeom prst="rect">
            <a:avLst/>
          </a:prstGeom>
        </xdr:spPr>
      </xdr:pic>
      <xdr:pic macro="[0]!placeCard">
        <xdr:nvPicPr>
          <xdr:cNvPr id="71" name="Card22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30432" y="1803225"/>
            <a:ext cx="677400" cy="1031286"/>
          </a:xfrm>
          <a:prstGeom prst="rect">
            <a:avLst/>
          </a:prstGeom>
        </xdr:spPr>
      </xdr:pic>
      <xdr:pic macro="[0]!placeCard">
        <xdr:nvPicPr>
          <xdr:cNvPr id="87" name="Card23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219274" y="1801666"/>
            <a:ext cx="677400" cy="1040597"/>
          </a:xfrm>
          <a:prstGeom prst="rect">
            <a:avLst/>
          </a:prstGeom>
        </xdr:spPr>
      </xdr:pic>
      <xdr:pic macro="[0]!placeCard">
        <xdr:nvPicPr>
          <xdr:cNvPr id="103" name="Card24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08115" y="1801666"/>
            <a:ext cx="677400" cy="1048265"/>
          </a:xfrm>
          <a:prstGeom prst="rect">
            <a:avLst/>
          </a:prstGeom>
        </xdr:spPr>
      </xdr:pic>
      <xdr:pic macro="[0]!placeCard">
        <xdr:nvPicPr>
          <xdr:cNvPr id="95" name="Card25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6956" y="1803224"/>
            <a:ext cx="677400" cy="1042086"/>
          </a:xfrm>
          <a:prstGeom prst="rect">
            <a:avLst/>
          </a:prstGeom>
        </xdr:spPr>
      </xdr:pic>
      <xdr:pic macro="[0]!placeCard">
        <xdr:nvPicPr>
          <xdr:cNvPr id="79" name="Card26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85800" y="1803224"/>
            <a:ext cx="677400" cy="1044195"/>
          </a:xfrm>
          <a:prstGeom prst="rect">
            <a:avLst/>
          </a:prstGeom>
        </xdr:spPr>
      </xdr:pic>
      <xdr:pic macro="[0]!placeCard">
        <xdr:nvPicPr>
          <xdr:cNvPr id="9" name="Card27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01" y="2845102"/>
            <a:ext cx="677400" cy="1044195"/>
          </a:xfrm>
          <a:prstGeom prst="rect">
            <a:avLst/>
          </a:prstGeom>
        </xdr:spPr>
      </xdr:pic>
      <xdr:pic macro="[0]!placeCard">
        <xdr:nvPicPr>
          <xdr:cNvPr id="17" name="Card28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8542" y="2843545"/>
            <a:ext cx="677400" cy="1050657"/>
          </a:xfrm>
          <a:prstGeom prst="rect">
            <a:avLst/>
          </a:prstGeom>
        </xdr:spPr>
      </xdr:pic>
      <xdr:pic macro="[0]!placeCard">
        <xdr:nvPicPr>
          <xdr:cNvPr id="25" name="Card29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97384" y="2843545"/>
            <a:ext cx="677400" cy="1050657"/>
          </a:xfrm>
          <a:prstGeom prst="rect">
            <a:avLst/>
          </a:prstGeom>
        </xdr:spPr>
      </xdr:pic>
      <xdr:pic macro="[0]!placeCard">
        <xdr:nvPicPr>
          <xdr:cNvPr id="33" name="Card30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86225" y="2845102"/>
            <a:ext cx="677400" cy="1034208"/>
          </a:xfrm>
          <a:prstGeom prst="rect">
            <a:avLst/>
          </a:prstGeom>
        </xdr:spPr>
      </xdr:pic>
      <xdr:pic macro="[0]!placeCard">
        <xdr:nvPicPr>
          <xdr:cNvPr id="41" name="Card31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75067" y="2845102"/>
            <a:ext cx="677400" cy="1042086"/>
          </a:xfrm>
          <a:prstGeom prst="rect">
            <a:avLst/>
          </a:prstGeom>
        </xdr:spPr>
      </xdr:pic>
      <xdr:pic macro="[0]!placeCard">
        <xdr:nvPicPr>
          <xdr:cNvPr id="49" name="Card32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3908" y="2845102"/>
            <a:ext cx="677400" cy="1034208"/>
          </a:xfrm>
          <a:prstGeom prst="rect">
            <a:avLst/>
          </a:prstGeom>
        </xdr:spPr>
      </xdr:pic>
      <xdr:pic macro="[0]!placeCard">
        <xdr:nvPicPr>
          <xdr:cNvPr id="57" name="Card33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749" y="2845103"/>
            <a:ext cx="677400" cy="1044194"/>
          </a:xfrm>
          <a:prstGeom prst="rect">
            <a:avLst/>
          </a:prstGeom>
        </xdr:spPr>
      </xdr:pic>
      <xdr:pic macro="[0]!placeCard">
        <xdr:nvPicPr>
          <xdr:cNvPr id="65" name="Card3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41591" y="2845103"/>
            <a:ext cx="677400" cy="1044194"/>
          </a:xfrm>
          <a:prstGeom prst="rect">
            <a:avLst/>
          </a:prstGeom>
        </xdr:spPr>
      </xdr:pic>
      <xdr:pic macro="[0]!placeCard">
        <xdr:nvPicPr>
          <xdr:cNvPr id="73" name="Card35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30432" y="2845103"/>
            <a:ext cx="677400" cy="1044194"/>
          </a:xfrm>
          <a:prstGeom prst="rect">
            <a:avLst/>
          </a:prstGeom>
        </xdr:spPr>
      </xdr:pic>
      <xdr:pic macro="[0]!placeCard">
        <xdr:nvPicPr>
          <xdr:cNvPr id="89" name="Card36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219274" y="2845103"/>
            <a:ext cx="677400" cy="1044194"/>
          </a:xfrm>
          <a:prstGeom prst="rect">
            <a:avLst/>
          </a:prstGeom>
        </xdr:spPr>
      </xdr:pic>
      <xdr:pic macro="[0]!placeCard">
        <xdr:nvPicPr>
          <xdr:cNvPr id="105" name="Card37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08115" y="2843545"/>
            <a:ext cx="677400" cy="1040597"/>
          </a:xfrm>
          <a:prstGeom prst="rect">
            <a:avLst/>
          </a:prstGeom>
        </xdr:spPr>
      </xdr:pic>
      <xdr:pic macro="[0]!placeCard">
        <xdr:nvPicPr>
          <xdr:cNvPr id="97" name="Card38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6956" y="2845103"/>
            <a:ext cx="677400" cy="1021538"/>
          </a:xfrm>
          <a:prstGeom prst="rect">
            <a:avLst/>
          </a:prstGeom>
        </xdr:spPr>
      </xdr:pic>
      <xdr:pic macro="[0]!placeCard">
        <xdr:nvPicPr>
          <xdr:cNvPr id="81" name="Card39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85800" y="2845103"/>
            <a:ext cx="677400" cy="1031286"/>
          </a:xfrm>
          <a:prstGeom prst="rect">
            <a:avLst/>
          </a:prstGeom>
        </xdr:spPr>
      </xdr:pic>
      <xdr:pic macro="[0]!placeCard">
        <xdr:nvPicPr>
          <xdr:cNvPr id="5" name="Card40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01" y="3895720"/>
            <a:ext cx="677400" cy="1021534"/>
          </a:xfrm>
          <a:prstGeom prst="rect">
            <a:avLst/>
          </a:prstGeom>
        </xdr:spPr>
      </xdr:pic>
      <xdr:pic macro="[0]!placeCard">
        <xdr:nvPicPr>
          <xdr:cNvPr id="13" name="Card41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8542" y="3895720"/>
            <a:ext cx="677400" cy="1034208"/>
          </a:xfrm>
          <a:prstGeom prst="rect">
            <a:avLst/>
          </a:prstGeom>
        </xdr:spPr>
      </xdr:pic>
      <xdr:pic macro="[0]!placeCard">
        <xdr:nvPicPr>
          <xdr:cNvPr id="21" name="Card42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97384" y="3895720"/>
            <a:ext cx="677400" cy="1048264"/>
          </a:xfrm>
          <a:prstGeom prst="rect">
            <a:avLst/>
          </a:prstGeom>
        </xdr:spPr>
      </xdr:pic>
      <xdr:pic macro="[0]!placeCard">
        <xdr:nvPicPr>
          <xdr:cNvPr id="29" name="Card43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86225" y="3895720"/>
            <a:ext cx="677400" cy="1044195"/>
          </a:xfrm>
          <a:prstGeom prst="rect">
            <a:avLst/>
          </a:prstGeom>
        </xdr:spPr>
      </xdr:pic>
      <xdr:pic macro="[0]!placeCard">
        <xdr:nvPicPr>
          <xdr:cNvPr id="37" name="Card44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75067" y="3895720"/>
            <a:ext cx="677400" cy="1044194"/>
          </a:xfrm>
          <a:prstGeom prst="rect">
            <a:avLst/>
          </a:prstGeom>
        </xdr:spPr>
      </xdr:pic>
      <xdr:pic macro="[0]!placeCard">
        <xdr:nvPicPr>
          <xdr:cNvPr id="45" name="Card45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3908" y="3895721"/>
            <a:ext cx="677400" cy="1052230"/>
          </a:xfrm>
          <a:prstGeom prst="rect">
            <a:avLst/>
          </a:prstGeom>
        </xdr:spPr>
      </xdr:pic>
      <xdr:pic macro="[0]!placeCard">
        <xdr:nvPicPr>
          <xdr:cNvPr id="53" name="Card46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749" y="3895721"/>
            <a:ext cx="677400" cy="1044195"/>
          </a:xfrm>
          <a:prstGeom prst="rect">
            <a:avLst/>
          </a:prstGeom>
        </xdr:spPr>
      </xdr:pic>
      <xdr:pic macro="[0]!placeCard">
        <xdr:nvPicPr>
          <xdr:cNvPr id="61" name="Card47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41591" y="3895721"/>
            <a:ext cx="677400" cy="1044195"/>
          </a:xfrm>
          <a:prstGeom prst="rect">
            <a:avLst/>
          </a:prstGeom>
        </xdr:spPr>
      </xdr:pic>
      <xdr:pic macro="[0]!placeCard">
        <xdr:nvPicPr>
          <xdr:cNvPr id="69" name="Card4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30432" y="3895721"/>
            <a:ext cx="677400" cy="1040597"/>
          </a:xfrm>
          <a:prstGeom prst="rect">
            <a:avLst/>
          </a:prstGeom>
        </xdr:spPr>
      </xdr:pic>
      <xdr:pic macro="[0]!placeCard">
        <xdr:nvPicPr>
          <xdr:cNvPr id="85" name="Card49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219274" y="3895721"/>
            <a:ext cx="677400" cy="1028986"/>
          </a:xfrm>
          <a:prstGeom prst="rect">
            <a:avLst/>
          </a:prstGeom>
        </xdr:spPr>
      </xdr:pic>
      <xdr:pic macro="[0]!placeCard">
        <xdr:nvPicPr>
          <xdr:cNvPr id="101" name="Card5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08115" y="3895721"/>
            <a:ext cx="677400" cy="1031280"/>
          </a:xfrm>
          <a:prstGeom prst="rect">
            <a:avLst/>
          </a:prstGeom>
        </xdr:spPr>
      </xdr:pic>
      <xdr:pic macro="[0]!placeCard">
        <xdr:nvPicPr>
          <xdr:cNvPr id="93" name="Card51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6956" y="3895721"/>
            <a:ext cx="677400" cy="1031276"/>
          </a:xfrm>
          <a:prstGeom prst="rect">
            <a:avLst/>
          </a:prstGeom>
        </xdr:spPr>
      </xdr:pic>
      <xdr:pic macro="[0]!placeCard">
        <xdr:nvPicPr>
          <xdr:cNvPr id="77" name="Card52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85800" y="3895721"/>
            <a:ext cx="677400" cy="1021534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</xdr:row>
          <xdr:rowOff>9525</xdr:rowOff>
        </xdr:from>
        <xdr:to>
          <xdr:col>7</xdr:col>
          <xdr:colOff>28575</xdr:colOff>
          <xdr:row>4</xdr:row>
          <xdr:rowOff>190500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6</xdr:row>
          <xdr:rowOff>19050</xdr:rowOff>
        </xdr:from>
        <xdr:to>
          <xdr:col>7</xdr:col>
          <xdr:colOff>28575</xdr:colOff>
          <xdr:row>7</xdr:row>
          <xdr:rowOff>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98179</xdr:colOff>
          <xdr:row>3</xdr:row>
          <xdr:rowOff>57150</xdr:rowOff>
        </xdr:from>
        <xdr:to>
          <xdr:col>7</xdr:col>
          <xdr:colOff>1070179</xdr:colOff>
          <xdr:row>5</xdr:row>
          <xdr:rowOff>9380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98179</xdr:colOff>
          <xdr:row>5</xdr:row>
          <xdr:rowOff>55683</xdr:rowOff>
        </xdr:from>
        <xdr:to>
          <xdr:col>7</xdr:col>
          <xdr:colOff>1070179</xdr:colOff>
          <xdr:row>7</xdr:row>
          <xdr:rowOff>7914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98179</xdr:colOff>
          <xdr:row>1</xdr:row>
          <xdr:rowOff>43962</xdr:rowOff>
        </xdr:from>
        <xdr:to>
          <xdr:col>7</xdr:col>
          <xdr:colOff>1070179</xdr:colOff>
          <xdr:row>3</xdr:row>
          <xdr:rowOff>10847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65941</xdr:colOff>
      <xdr:row>13</xdr:row>
      <xdr:rowOff>139212</xdr:rowOff>
    </xdr:from>
    <xdr:to>
      <xdr:col>19</xdr:col>
      <xdr:colOff>585067</xdr:colOff>
      <xdr:row>27</xdr:row>
      <xdr:rowOff>95250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9525</xdr:rowOff>
        </xdr:from>
        <xdr:to>
          <xdr:col>3</xdr:col>
          <xdr:colOff>352575</xdr:colOff>
          <xdr:row>2</xdr:row>
          <xdr:rowOff>180975</xdr:rowOff>
        </xdr:to>
        <xdr:sp macro="" textlink="">
          <xdr:nvSpPr>
            <xdr:cNvPr id="1033" name="Btn2Player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367393</xdr:colOff>
          <xdr:row>2</xdr:row>
          <xdr:rowOff>9525</xdr:rowOff>
        </xdr:from>
        <xdr:to>
          <xdr:col>4</xdr:col>
          <xdr:colOff>2662</xdr:colOff>
          <xdr:row>2</xdr:row>
          <xdr:rowOff>180975</xdr:rowOff>
        </xdr:to>
        <xdr:sp macro="" textlink="">
          <xdr:nvSpPr>
            <xdr:cNvPr id="1034" name="Btn3Player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17480</xdr:colOff>
          <xdr:row>2</xdr:row>
          <xdr:rowOff>9525</xdr:rowOff>
        </xdr:from>
        <xdr:to>
          <xdr:col>4</xdr:col>
          <xdr:colOff>341480</xdr:colOff>
          <xdr:row>2</xdr:row>
          <xdr:rowOff>180975</xdr:rowOff>
        </xdr:to>
        <xdr:sp macro="" textlink="">
          <xdr:nvSpPr>
            <xdr:cNvPr id="1035" name="Btn4Player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356298</xdr:colOff>
          <xdr:row>2</xdr:row>
          <xdr:rowOff>9525</xdr:rowOff>
        </xdr:from>
        <xdr:to>
          <xdr:col>4</xdr:col>
          <xdr:colOff>680298</xdr:colOff>
          <xdr:row>2</xdr:row>
          <xdr:rowOff>180975</xdr:rowOff>
        </xdr:to>
        <xdr:sp macro="" textlink="">
          <xdr:nvSpPr>
            <xdr:cNvPr id="1036" name="Btn5Player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6386</xdr:colOff>
          <xdr:row>2</xdr:row>
          <xdr:rowOff>9525</xdr:rowOff>
        </xdr:from>
        <xdr:to>
          <xdr:col>5</xdr:col>
          <xdr:colOff>330386</xdr:colOff>
          <xdr:row>2</xdr:row>
          <xdr:rowOff>180975</xdr:rowOff>
        </xdr:to>
        <xdr:sp macro="" textlink="">
          <xdr:nvSpPr>
            <xdr:cNvPr id="1037" name="Btn6Player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345204</xdr:colOff>
          <xdr:row>2</xdr:row>
          <xdr:rowOff>9525</xdr:rowOff>
        </xdr:from>
        <xdr:to>
          <xdr:col>5</xdr:col>
          <xdr:colOff>669204</xdr:colOff>
          <xdr:row>2</xdr:row>
          <xdr:rowOff>180975</xdr:rowOff>
        </xdr:to>
        <xdr:sp macro="" textlink="">
          <xdr:nvSpPr>
            <xdr:cNvPr id="1038" name="Btn7Player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684022</xdr:colOff>
          <xdr:row>2</xdr:row>
          <xdr:rowOff>9525</xdr:rowOff>
        </xdr:from>
        <xdr:to>
          <xdr:col>6</xdr:col>
          <xdr:colOff>319291</xdr:colOff>
          <xdr:row>2</xdr:row>
          <xdr:rowOff>180975</xdr:rowOff>
        </xdr:to>
        <xdr:sp macro="" textlink="">
          <xdr:nvSpPr>
            <xdr:cNvPr id="1039" name="Btn8Player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334107</xdr:colOff>
          <xdr:row>2</xdr:row>
          <xdr:rowOff>9525</xdr:rowOff>
        </xdr:from>
        <xdr:to>
          <xdr:col>6</xdr:col>
          <xdr:colOff>658107</xdr:colOff>
          <xdr:row>2</xdr:row>
          <xdr:rowOff>180975</xdr:rowOff>
        </xdr:to>
        <xdr:sp macro="" textlink="">
          <xdr:nvSpPr>
            <xdr:cNvPr id="1040" name="Btn9Players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9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294856</xdr:colOff>
      <xdr:row>0</xdr:row>
      <xdr:rowOff>144946</xdr:rowOff>
    </xdr:from>
    <xdr:to>
      <xdr:col>19</xdr:col>
      <xdr:colOff>586991</xdr:colOff>
      <xdr:row>5</xdr:row>
      <xdr:rowOff>37591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52A1DCB9-557A-41AC-82B5-CBF7842D9EC4}"/>
            </a:ext>
          </a:extLst>
        </xdr:cNvPr>
        <xdr:cNvGrpSpPr/>
      </xdr:nvGrpSpPr>
      <xdr:grpSpPr>
        <a:xfrm>
          <a:off x="11431779" y="144946"/>
          <a:ext cx="951558" cy="603357"/>
          <a:chOff x="11446643" y="985272"/>
          <a:chExt cx="950720" cy="561179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31F8A101-BEC7-4E19-95DD-A5D107BB0F55}"/>
              </a:ext>
            </a:extLst>
          </xdr:cNvPr>
          <xdr:cNvSpPr/>
        </xdr:nvSpPr>
        <xdr:spPr>
          <a:xfrm>
            <a:off x="11446643" y="1227364"/>
            <a:ext cx="108000" cy="111559"/>
          </a:xfrm>
          <a:prstGeom prst="rect">
            <a:avLst/>
          </a:prstGeom>
          <a:solidFill>
            <a:schemeClr val="accent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" name="Rectangle 71">
            <a:extLst>
              <a:ext uri="{FF2B5EF4-FFF2-40B4-BE49-F238E27FC236}">
                <a16:creationId xmlns:a16="http://schemas.microsoft.com/office/drawing/2014/main" id="{7BE8CDC2-8102-422B-897E-12AE12C58C8E}"/>
              </a:ext>
            </a:extLst>
          </xdr:cNvPr>
          <xdr:cNvSpPr/>
        </xdr:nvSpPr>
        <xdr:spPr>
          <a:xfrm>
            <a:off x="11446643" y="1355481"/>
            <a:ext cx="108000" cy="10800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4" name="Rectangle 73">
            <a:extLst>
              <a:ext uri="{FF2B5EF4-FFF2-40B4-BE49-F238E27FC236}">
                <a16:creationId xmlns:a16="http://schemas.microsoft.com/office/drawing/2014/main" id="{21B7F89F-2224-4C54-87EA-5C22BA4C6685}"/>
              </a:ext>
            </a:extLst>
          </xdr:cNvPr>
          <xdr:cNvSpPr/>
        </xdr:nvSpPr>
        <xdr:spPr>
          <a:xfrm>
            <a:off x="11446643" y="1099247"/>
            <a:ext cx="108000" cy="111559"/>
          </a:xfrm>
          <a:prstGeom prst="rect">
            <a:avLst/>
          </a:prstGeom>
          <a:solidFill>
            <a:srgbClr val="10069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E8DD0948-31E5-4CFE-AA6B-98EEA37F1799}"/>
              </a:ext>
            </a:extLst>
          </xdr:cNvPr>
          <xdr:cNvSpPr txBox="1"/>
        </xdr:nvSpPr>
        <xdr:spPr>
          <a:xfrm>
            <a:off x="11503478" y="985272"/>
            <a:ext cx="893885" cy="5611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800" baseline="0">
                <a:solidFill>
                  <a:schemeClr val="bg1"/>
                </a:solidFill>
              </a:rPr>
              <a:t>Above fair share</a:t>
            </a:r>
          </a:p>
          <a:p>
            <a:pPr algn="l"/>
            <a:r>
              <a:rPr lang="pt-BR" sz="800" baseline="0">
                <a:solidFill>
                  <a:schemeClr val="bg1"/>
                </a:solidFill>
              </a:rPr>
              <a:t>Within fair share</a:t>
            </a:r>
          </a:p>
          <a:p>
            <a:pPr algn="l"/>
            <a:r>
              <a:rPr lang="pt-BR" sz="800" baseline="0">
                <a:solidFill>
                  <a:schemeClr val="bg1"/>
                </a:solidFill>
              </a:rPr>
              <a:t>Below fair share</a:t>
            </a:r>
          </a:p>
        </xdr:txBody>
      </xdr:sp>
    </xdr:grpSp>
    <xdr:clientData/>
  </xdr:twoCellAnchor>
  <xdr:twoCellAnchor>
    <xdr:from>
      <xdr:col>14</xdr:col>
      <xdr:colOff>109904</xdr:colOff>
      <xdr:row>1</xdr:row>
      <xdr:rowOff>0</xdr:rowOff>
    </xdr:from>
    <xdr:to>
      <xdr:col>19</xdr:col>
      <xdr:colOff>446942</xdr:colOff>
      <xdr:row>13</xdr:row>
      <xdr:rowOff>43961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2BFC083F-5B13-462D-842C-65F674B9B1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4</xdr:row>
          <xdr:rowOff>9525</xdr:rowOff>
        </xdr:from>
        <xdr:to>
          <xdr:col>11</xdr:col>
          <xdr:colOff>352575</xdr:colOff>
          <xdr:row>4</xdr:row>
          <xdr:rowOff>190500</xdr:rowOff>
        </xdr:to>
        <xdr:sp macro="" textlink="">
          <xdr:nvSpPr>
            <xdr:cNvPr id="1031" name="MC100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365614</xdr:colOff>
          <xdr:row>4</xdr:row>
          <xdr:rowOff>9525</xdr:rowOff>
        </xdr:from>
        <xdr:to>
          <xdr:col>12</xdr:col>
          <xdr:colOff>883</xdr:colOff>
          <xdr:row>4</xdr:row>
          <xdr:rowOff>190500</xdr:rowOff>
        </xdr:to>
        <xdr:sp macro="" textlink="">
          <xdr:nvSpPr>
            <xdr:cNvPr id="1042" name="MC200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13922</xdr:colOff>
          <xdr:row>4</xdr:row>
          <xdr:rowOff>9525</xdr:rowOff>
        </xdr:from>
        <xdr:to>
          <xdr:col>12</xdr:col>
          <xdr:colOff>337922</xdr:colOff>
          <xdr:row>4</xdr:row>
          <xdr:rowOff>190500</xdr:rowOff>
        </xdr:to>
        <xdr:sp macro="" textlink="">
          <xdr:nvSpPr>
            <xdr:cNvPr id="1043" name="MC5000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350961</xdr:colOff>
          <xdr:row>4</xdr:row>
          <xdr:rowOff>9525</xdr:rowOff>
        </xdr:from>
        <xdr:to>
          <xdr:col>12</xdr:col>
          <xdr:colOff>674961</xdr:colOff>
          <xdr:row>4</xdr:row>
          <xdr:rowOff>190500</xdr:rowOff>
        </xdr:to>
        <xdr:sp macro="" textlink="">
          <xdr:nvSpPr>
            <xdr:cNvPr id="1044" name="MC1000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57A9FB-79F7-D541-AEFF-76A5F256D028}" name="CardDB" displayName="CardDB" ref="N1:R53" totalsRowShown="0" headerRowDxfId="6" dataDxfId="5">
  <autoFilter ref="N1:R53" xr:uid="{5FB04EDB-275F-3E40-A1F4-9BCD673AE0ED}"/>
  <tableColumns count="5">
    <tableColumn id="1" xr3:uid="{006A3D2A-3563-8A4F-8864-7BBB040284E4}" name="Card" dataDxfId="4"/>
    <tableColumn id="2" xr3:uid="{4FDE73FA-7F8E-FE4C-8D93-68029D0D2911}" name="Suit" dataDxfId="3"/>
    <tableColumn id="3" xr3:uid="{F1D888D8-754A-D64D-936C-267B7A316DB7}" name="Code" dataDxfId="2"/>
    <tableColumn id="4" xr3:uid="{EA9AF4C0-EB5C-1149-B8EE-1AFBB7FEDE40}" name="Symbol" dataDxfId="1"/>
    <tableColumn id="5" xr3:uid="{1AD537FE-CA7F-6E48-BBC5-4A4C84232C71}" name="FinalStr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66438-9003-4A20-9365-B9DD6C9EB04D}">
  <sheetPr codeName="Sheet1"/>
  <dimension ref="A1:U133"/>
  <sheetViews>
    <sheetView showGridLines="0" tabSelected="1" zoomScale="130" zoomScaleNormal="130" workbookViewId="0"/>
  </sheetViews>
  <sheetFormatPr defaultColWidth="0" defaultRowHeight="15.75" zeroHeight="1"/>
  <cols>
    <col min="1" max="1" width="2.875" style="149" customWidth="1"/>
    <col min="2" max="2" width="18.25" style="149" bestFit="1" customWidth="1"/>
    <col min="3" max="7" width="9" style="149" customWidth="1"/>
    <col min="8" max="8" width="14.625" style="149" customWidth="1"/>
    <col min="9" max="10" width="1.125" style="149" customWidth="1"/>
    <col min="11" max="13" width="9" style="149" customWidth="1"/>
    <col min="14" max="14" width="1.125" style="149" customWidth="1"/>
    <col min="15" max="20" width="8.625" style="149" customWidth="1"/>
    <col min="21" max="21" width="0" style="149" hidden="1"/>
    <col min="22" max="16384" width="8.625" style="149" hidden="1"/>
  </cols>
  <sheetData>
    <row r="1" spans="2:14"/>
    <row r="2" spans="2:14" ht="3.75" customHeight="1">
      <c r="B2" s="154"/>
      <c r="C2" s="155"/>
      <c r="D2" s="155"/>
      <c r="E2" s="155"/>
      <c r="F2" s="155"/>
      <c r="G2" s="155"/>
      <c r="H2" s="156"/>
      <c r="J2" s="154"/>
      <c r="K2" s="155"/>
      <c r="L2" s="155"/>
      <c r="M2" s="155"/>
      <c r="N2" s="156"/>
    </row>
    <row r="3" spans="2:14">
      <c r="B3" s="157" t="s">
        <v>71</v>
      </c>
      <c r="C3" s="151">
        <v>6</v>
      </c>
      <c r="D3" s="158"/>
      <c r="E3" s="158"/>
      <c r="F3" s="158"/>
      <c r="G3" s="158"/>
      <c r="H3" s="159"/>
      <c r="J3" s="167"/>
      <c r="K3" s="168" t="s">
        <v>114</v>
      </c>
      <c r="L3" s="158"/>
      <c r="M3" s="158"/>
      <c r="N3" s="159"/>
    </row>
    <row r="4" spans="2:14" ht="5.25" customHeight="1">
      <c r="B4" s="157"/>
      <c r="C4" s="158"/>
      <c r="D4" s="158"/>
      <c r="E4" s="158"/>
      <c r="F4" s="158"/>
      <c r="G4" s="158"/>
      <c r="H4" s="159"/>
      <c r="J4" s="167"/>
      <c r="K4" s="168"/>
      <c r="L4" s="158"/>
      <c r="M4" s="158"/>
      <c r="N4" s="159"/>
    </row>
    <row r="5" spans="2:14">
      <c r="B5" s="157" t="s">
        <v>67</v>
      </c>
      <c r="C5" s="152" t="s">
        <v>15</v>
      </c>
      <c r="D5" s="153" t="s">
        <v>37</v>
      </c>
      <c r="E5" s="158"/>
      <c r="F5" s="158"/>
      <c r="G5" s="158"/>
      <c r="H5" s="159"/>
      <c r="J5" s="167"/>
      <c r="K5" s="42">
        <v>10000</v>
      </c>
      <c r="L5" s="158"/>
      <c r="M5" s="158"/>
      <c r="N5" s="159"/>
    </row>
    <row r="6" spans="2:14" ht="5.25" customHeight="1">
      <c r="B6" s="157"/>
      <c r="C6" s="160"/>
      <c r="D6" s="160"/>
      <c r="E6" s="160"/>
      <c r="F6" s="158"/>
      <c r="G6" s="158"/>
      <c r="H6" s="159"/>
      <c r="J6" s="167"/>
      <c r="K6" s="158"/>
      <c r="L6" s="158"/>
      <c r="M6" s="158"/>
      <c r="N6" s="159"/>
    </row>
    <row r="7" spans="2:14">
      <c r="B7" s="157" t="s">
        <v>82</v>
      </c>
      <c r="C7" s="153"/>
      <c r="D7" s="153"/>
      <c r="E7" s="152"/>
      <c r="F7" s="153"/>
      <c r="G7" s="152"/>
      <c r="H7" s="159"/>
      <c r="J7" s="167"/>
      <c r="K7" s="164">
        <v>0.23499999999999999</v>
      </c>
      <c r="L7" s="165">
        <v>2.3199999999999998E-2</v>
      </c>
      <c r="M7" s="166">
        <v>0.74180000000000001</v>
      </c>
      <c r="N7" s="159"/>
    </row>
    <row r="8" spans="2:14" ht="3.75" customHeight="1">
      <c r="B8" s="161"/>
      <c r="C8" s="162"/>
      <c r="D8" s="162"/>
      <c r="E8" s="162"/>
      <c r="F8" s="162"/>
      <c r="G8" s="162"/>
      <c r="H8" s="163"/>
      <c r="J8" s="169"/>
      <c r="K8" s="170"/>
      <c r="L8" s="171"/>
      <c r="M8" s="172"/>
      <c r="N8" s="163"/>
    </row>
    <row r="9" spans="2:14"/>
    <row r="10" spans="2:14"/>
    <row r="11" spans="2:14"/>
    <row r="12" spans="2:14"/>
    <row r="13" spans="2:14">
      <c r="D13" s="150"/>
    </row>
    <row r="14" spans="2:14"/>
    <row r="15" spans="2:14"/>
    <row r="16" spans="2:14"/>
    <row r="17"/>
    <row r="18"/>
    <row r="19"/>
    <row r="20"/>
    <row r="21"/>
    <row r="22"/>
    <row r="23"/>
    <row r="24"/>
    <row r="25"/>
    <row r="26"/>
    <row r="27"/>
    <row r="28"/>
    <row r="29" hidden="1"/>
    <row r="30" hidden="1"/>
    <row r="31" hidden="1"/>
    <row r="32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</xdr:col>
                    <xdr:colOff>1171575</xdr:colOff>
                    <xdr:row>4</xdr:row>
                    <xdr:rowOff>9525</xdr:rowOff>
                  </from>
                  <to>
                    <xdr:col>7</xdr:col>
                    <xdr:colOff>28575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</xdr:col>
                    <xdr:colOff>1171575</xdr:colOff>
                    <xdr:row>6</xdr:row>
                    <xdr:rowOff>19050</xdr:rowOff>
                  </from>
                  <to>
                    <xdr:col>7</xdr:col>
                    <xdr:colOff>28575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MyCards">
                <anchor moveWithCells="1" sizeWithCells="1">
                  <from>
                    <xdr:col>7</xdr:col>
                    <xdr:colOff>95250</xdr:colOff>
                    <xdr:row>3</xdr:row>
                    <xdr:rowOff>57150</xdr:rowOff>
                  </from>
                  <to>
                    <xdr:col>7</xdr:col>
                    <xdr:colOff>1066800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Pot">
                <anchor moveWithCells="1" sizeWithCells="1">
                  <from>
                    <xdr:col>7</xdr:col>
                    <xdr:colOff>95250</xdr:colOff>
                    <xdr:row>5</xdr:row>
                    <xdr:rowOff>57150</xdr:rowOff>
                  </from>
                  <to>
                    <xdr:col>7</xdr:col>
                    <xdr:colOff>1066800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learBoth">
                <anchor moveWithCells="1" sizeWithCells="1">
                  <from>
                    <xdr:col>7</xdr:col>
                    <xdr:colOff>95250</xdr:colOff>
                    <xdr:row>1</xdr:row>
                    <xdr:rowOff>47625</xdr:rowOff>
                  </from>
                  <to>
                    <xdr:col>7</xdr:col>
                    <xdr:colOff>1066800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MC1000">
              <controlPr defaultSize="0" print="0" autoFill="0" autoPict="0" macro="[0]!texasMonteCarloNsims">
                <anchor moveWithCells="1" sizeWithCells="1">
                  <from>
                    <xdr:col>11</xdr:col>
                    <xdr:colOff>28575</xdr:colOff>
                    <xdr:row>4</xdr:row>
                    <xdr:rowOff>9525</xdr:rowOff>
                  </from>
                  <to>
                    <xdr:col>11</xdr:col>
                    <xdr:colOff>352425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tn2Players">
              <controlPr defaultSize="0" print="0" autoFill="0" autoPict="0" macro="[0]!changeNoOfPlayers">
                <anchor moveWithCells="1" sizeWithCells="1">
                  <from>
                    <xdr:col>3</xdr:col>
                    <xdr:colOff>28575</xdr:colOff>
                    <xdr:row>2</xdr:row>
                    <xdr:rowOff>9525</xdr:rowOff>
                  </from>
                  <to>
                    <xdr:col>3</xdr:col>
                    <xdr:colOff>352425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tn3Players">
              <controlPr defaultSize="0" print="0" autoFill="0" autoPict="0" macro="[0]!changeNoOfPlayers">
                <anchor moveWithCells="1" sizeWithCells="1">
                  <from>
                    <xdr:col>3</xdr:col>
                    <xdr:colOff>371475</xdr:colOff>
                    <xdr:row>2</xdr:row>
                    <xdr:rowOff>9525</xdr:rowOff>
                  </from>
                  <to>
                    <xdr:col>4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tn4Players">
              <controlPr defaultSize="0" print="0" autoFill="0" autoPict="0" macro="[0]!changeNoOfPlayers">
                <anchor moveWithCells="1" sizeWithCells="1">
                  <from>
                    <xdr:col>4</xdr:col>
                    <xdr:colOff>19050</xdr:colOff>
                    <xdr:row>2</xdr:row>
                    <xdr:rowOff>9525</xdr:rowOff>
                  </from>
                  <to>
                    <xdr:col>4</xdr:col>
                    <xdr:colOff>342900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tn5Players">
              <controlPr defaultSize="0" print="0" autoFill="0" autoPict="0" macro="[0]!changeNoOfPlayers">
                <anchor moveWithCells="1" sizeWithCells="1">
                  <from>
                    <xdr:col>4</xdr:col>
                    <xdr:colOff>352425</xdr:colOff>
                    <xdr:row>2</xdr:row>
                    <xdr:rowOff>9525</xdr:rowOff>
                  </from>
                  <to>
                    <xdr:col>4</xdr:col>
                    <xdr:colOff>676275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tn6Players">
              <controlPr defaultSize="0" print="0" autoFill="0" autoPict="0" macro="[0]!changeNoOfPlayers">
                <anchor moveWithCells="1" sizeWithCells="1">
                  <from>
                    <xdr:col>5</xdr:col>
                    <xdr:colOff>9525</xdr:colOff>
                    <xdr:row>2</xdr:row>
                    <xdr:rowOff>9525</xdr:rowOff>
                  </from>
                  <to>
                    <xdr:col>5</xdr:col>
                    <xdr:colOff>333375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tn7Players">
              <controlPr defaultSize="0" print="0" autoFill="0" autoPict="0" macro="[0]!changeNoOfPlayers">
                <anchor moveWithCells="1" sizeWithCells="1">
                  <from>
                    <xdr:col>5</xdr:col>
                    <xdr:colOff>342900</xdr:colOff>
                    <xdr:row>2</xdr:row>
                    <xdr:rowOff>9525</xdr:rowOff>
                  </from>
                  <to>
                    <xdr:col>5</xdr:col>
                    <xdr:colOff>666750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tn8Players">
              <controlPr defaultSize="0" print="0" autoFill="0" autoPict="0" macro="[0]!changeNoOfPlayers">
                <anchor moveWithCells="1" sizeWithCells="1">
                  <from>
                    <xdr:col>5</xdr:col>
                    <xdr:colOff>685800</xdr:colOff>
                    <xdr:row>2</xdr:row>
                    <xdr:rowOff>9525</xdr:rowOff>
                  </from>
                  <to>
                    <xdr:col>6</xdr:col>
                    <xdr:colOff>323850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Btn9Players">
              <controlPr defaultSize="0" print="0" autoFill="0" autoPict="0" macro="[0]!changeNoOfPlayers">
                <anchor moveWithCells="1" sizeWithCells="1">
                  <from>
                    <xdr:col>6</xdr:col>
                    <xdr:colOff>333375</xdr:colOff>
                    <xdr:row>2</xdr:row>
                    <xdr:rowOff>9525</xdr:rowOff>
                  </from>
                  <to>
                    <xdr:col>6</xdr:col>
                    <xdr:colOff>657225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MC2000">
              <controlPr defaultSize="0" print="0" autoFill="0" autoPict="0" macro="[0]!texasMonteCarloNsims">
                <anchor moveWithCells="1" sizeWithCells="1">
                  <from>
                    <xdr:col>11</xdr:col>
                    <xdr:colOff>361950</xdr:colOff>
                    <xdr:row>4</xdr:row>
                    <xdr:rowOff>9525</xdr:rowOff>
                  </from>
                  <to>
                    <xdr:col>12</xdr:col>
                    <xdr:colOff>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MC5000">
              <controlPr defaultSize="0" print="0" autoFill="0" autoPict="0" macro="[0]!texasMonteCarloNsims">
                <anchor moveWithCells="1" sizeWithCells="1">
                  <from>
                    <xdr:col>12</xdr:col>
                    <xdr:colOff>9525</xdr:colOff>
                    <xdr:row>4</xdr:row>
                    <xdr:rowOff>9525</xdr:rowOff>
                  </from>
                  <to>
                    <xdr:col>12</xdr:col>
                    <xdr:colOff>333375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MC10000">
              <controlPr defaultSize="0" print="0" autoFill="0" autoPict="0" macro="[0]!texasMonteCarloNsims">
                <anchor moveWithCells="1" sizeWithCells="1">
                  <from>
                    <xdr:col>12</xdr:col>
                    <xdr:colOff>352425</xdr:colOff>
                    <xdr:row>4</xdr:row>
                    <xdr:rowOff>9525</xdr:rowOff>
                  </from>
                  <to>
                    <xdr:col>12</xdr:col>
                    <xdr:colOff>676275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C89C8-3DCD-4999-BEBC-40BEE04F17BB}">
  <sheetPr codeName="Sheet3"/>
  <dimension ref="A1:R53"/>
  <sheetViews>
    <sheetView showGridLines="0" topLeftCell="A7" workbookViewId="0">
      <selection activeCell="B43" sqref="B43"/>
    </sheetView>
  </sheetViews>
  <sheetFormatPr defaultRowHeight="11.25"/>
  <cols>
    <col min="1" max="1" width="10" style="2" customWidth="1"/>
    <col min="2" max="4" width="5.625" style="2" customWidth="1"/>
    <col min="5" max="13" width="5.625" style="38" customWidth="1"/>
    <col min="14" max="18" width="5.625" style="2" customWidth="1"/>
    <col min="19" max="16384" width="9" style="2"/>
  </cols>
  <sheetData>
    <row r="1" spans="1:18">
      <c r="A1" s="1" t="s">
        <v>69</v>
      </c>
      <c r="B1" s="127" t="s">
        <v>70</v>
      </c>
      <c r="C1" s="128"/>
      <c r="N1" s="3" t="s">
        <v>1</v>
      </c>
      <c r="O1" s="3" t="s">
        <v>0</v>
      </c>
      <c r="P1" s="3" t="s">
        <v>2</v>
      </c>
      <c r="Q1" s="3" t="s">
        <v>9</v>
      </c>
      <c r="R1" s="3" t="s">
        <v>14</v>
      </c>
    </row>
    <row r="2" spans="1:18">
      <c r="A2" s="4">
        <v>1</v>
      </c>
      <c r="B2" s="5" t="s">
        <v>67</v>
      </c>
      <c r="C2" s="6">
        <v>2</v>
      </c>
      <c r="N2" s="7">
        <v>2</v>
      </c>
      <c r="O2" s="8">
        <v>1</v>
      </c>
      <c r="P2" s="8">
        <v>1</v>
      </c>
      <c r="Q2" s="9" t="s">
        <v>12</v>
      </c>
      <c r="R2" s="10" t="s">
        <v>16</v>
      </c>
    </row>
    <row r="3" spans="1:18">
      <c r="A3" s="11" t="str">
        <f>IF(A2=1,"My cards","Pot")</f>
        <v>My cards</v>
      </c>
      <c r="B3" s="12" t="s">
        <v>68</v>
      </c>
      <c r="C3" s="13">
        <v>0</v>
      </c>
      <c r="N3" s="14">
        <v>3</v>
      </c>
      <c r="O3" s="15">
        <v>1</v>
      </c>
      <c r="P3" s="15">
        <v>2</v>
      </c>
      <c r="Q3" s="16" t="s">
        <v>12</v>
      </c>
      <c r="R3" s="17" t="s">
        <v>17</v>
      </c>
    </row>
    <row r="4" spans="1:18">
      <c r="N4" s="14">
        <v>4</v>
      </c>
      <c r="O4" s="15">
        <v>1</v>
      </c>
      <c r="P4" s="15">
        <v>3</v>
      </c>
      <c r="Q4" s="16" t="s">
        <v>12</v>
      </c>
      <c r="R4" s="17" t="s">
        <v>18</v>
      </c>
    </row>
    <row r="5" spans="1:18">
      <c r="A5" s="37" t="s">
        <v>72</v>
      </c>
      <c r="E5" s="2"/>
      <c r="N5" s="14">
        <v>5</v>
      </c>
      <c r="O5" s="15">
        <v>1</v>
      </c>
      <c r="P5" s="15">
        <v>4</v>
      </c>
      <c r="Q5" s="16" t="s">
        <v>12</v>
      </c>
      <c r="R5" s="17" t="s">
        <v>19</v>
      </c>
    </row>
    <row r="6" spans="1:18">
      <c r="A6" s="7">
        <v>13</v>
      </c>
      <c r="B6" s="10">
        <v>24</v>
      </c>
      <c r="E6" s="2"/>
      <c r="N6" s="14">
        <v>6</v>
      </c>
      <c r="O6" s="15">
        <v>1</v>
      </c>
      <c r="P6" s="15">
        <v>5</v>
      </c>
      <c r="Q6" s="16" t="s">
        <v>12</v>
      </c>
      <c r="R6" s="17" t="s">
        <v>20</v>
      </c>
    </row>
    <row r="7" spans="1:18">
      <c r="A7" s="18">
        <v>0</v>
      </c>
      <c r="B7" s="19">
        <v>0</v>
      </c>
      <c r="C7" s="19">
        <v>0</v>
      </c>
      <c r="D7" s="19">
        <v>0</v>
      </c>
      <c r="E7" s="20">
        <v>0</v>
      </c>
      <c r="N7" s="14">
        <v>7</v>
      </c>
      <c r="O7" s="15">
        <v>1</v>
      </c>
      <c r="P7" s="15">
        <v>6</v>
      </c>
      <c r="Q7" s="16" t="s">
        <v>12</v>
      </c>
      <c r="R7" s="17" t="s">
        <v>21</v>
      </c>
    </row>
    <row r="8" spans="1:18">
      <c r="N8" s="14">
        <v>8</v>
      </c>
      <c r="O8" s="15">
        <v>1</v>
      </c>
      <c r="P8" s="15">
        <v>7</v>
      </c>
      <c r="Q8" s="16" t="s">
        <v>12</v>
      </c>
      <c r="R8" s="17" t="s">
        <v>22</v>
      </c>
    </row>
    <row r="9" spans="1:18">
      <c r="A9" s="131" t="s">
        <v>110</v>
      </c>
      <c r="B9" s="134">
        <v>0.02</v>
      </c>
      <c r="N9" s="14">
        <v>9</v>
      </c>
      <c r="O9" s="15">
        <v>1</v>
      </c>
      <c r="P9" s="15">
        <v>8</v>
      </c>
      <c r="Q9" s="16" t="s">
        <v>12</v>
      </c>
      <c r="R9" s="17" t="s">
        <v>23</v>
      </c>
    </row>
    <row r="10" spans="1:18">
      <c r="N10" s="14" t="s">
        <v>4</v>
      </c>
      <c r="O10" s="15">
        <v>1</v>
      </c>
      <c r="P10" s="15">
        <v>9</v>
      </c>
      <c r="Q10" s="16" t="s">
        <v>12</v>
      </c>
      <c r="R10" s="17" t="s">
        <v>63</v>
      </c>
    </row>
    <row r="11" spans="1:18">
      <c r="A11" s="119" t="s">
        <v>93</v>
      </c>
      <c r="B11" s="120"/>
      <c r="C11" s="120"/>
      <c r="D11" s="120"/>
      <c r="E11" s="121"/>
      <c r="F11" s="121"/>
      <c r="G11" s="121"/>
      <c r="H11" s="122"/>
      <c r="N11" s="14" t="s">
        <v>5</v>
      </c>
      <c r="O11" s="15">
        <v>1</v>
      </c>
      <c r="P11" s="15">
        <v>10</v>
      </c>
      <c r="Q11" s="16" t="s">
        <v>12</v>
      </c>
      <c r="R11" s="17" t="s">
        <v>24</v>
      </c>
    </row>
    <row r="12" spans="1:18">
      <c r="A12" s="83" t="s">
        <v>105</v>
      </c>
      <c r="B12" s="86" t="s">
        <v>103</v>
      </c>
      <c r="C12" s="86" t="s">
        <v>0</v>
      </c>
      <c r="D12" s="84" t="s">
        <v>104</v>
      </c>
      <c r="E12" s="83" t="s">
        <v>106</v>
      </c>
      <c r="F12" s="86" t="s">
        <v>103</v>
      </c>
      <c r="G12" s="86" t="s">
        <v>0</v>
      </c>
      <c r="H12" s="84" t="s">
        <v>104</v>
      </c>
      <c r="N12" s="14" t="s">
        <v>6</v>
      </c>
      <c r="O12" s="15">
        <v>1</v>
      </c>
      <c r="P12" s="15">
        <v>11</v>
      </c>
      <c r="Q12" s="16" t="s">
        <v>12</v>
      </c>
      <c r="R12" s="17" t="s">
        <v>25</v>
      </c>
    </row>
    <row r="13" spans="1:18">
      <c r="A13" s="39">
        <f>A6</f>
        <v>13</v>
      </c>
      <c r="B13" s="40" cm="1">
        <f t="array" ref="B13">cardValue(A13)</f>
        <v>14</v>
      </c>
      <c r="C13" s="40" cm="1">
        <f t="array" ref="C13">cardSuit(A13)</f>
        <v>1</v>
      </c>
      <c r="D13" s="41" t="str" cm="1">
        <f t="array" ref="D13">IF(A13=0,0,INDEX(CardDB[Card],A13))</f>
        <v>A</v>
      </c>
      <c r="E13" s="39">
        <f>B6</f>
        <v>24</v>
      </c>
      <c r="F13" s="40" cm="1">
        <f t="array" ref="F13">cardValue(E13)</f>
        <v>12</v>
      </c>
      <c r="G13" s="40" cm="1">
        <f t="array" ref="G13">cardSuit(E13)</f>
        <v>2</v>
      </c>
      <c r="H13" s="41" t="str" cm="1">
        <f t="array" ref="H13">IF(E13=0,0,INDEX(CardDB[Card],E13))</f>
        <v>Q</v>
      </c>
      <c r="N13" s="14" t="s">
        <v>7</v>
      </c>
      <c r="O13" s="15">
        <v>1</v>
      </c>
      <c r="P13" s="15">
        <v>12</v>
      </c>
      <c r="Q13" s="16" t="s">
        <v>12</v>
      </c>
      <c r="R13" s="17" t="s">
        <v>26</v>
      </c>
    </row>
    <row r="14" spans="1:18">
      <c r="A14" s="39">
        <f>IF($B$13&gt;$F$13,A13,E13)</f>
        <v>13</v>
      </c>
      <c r="B14" s="40">
        <f>IF($B$13&gt;$F$13,B13,F13)</f>
        <v>14</v>
      </c>
      <c r="C14" s="40">
        <f>IF($B$13&gt;$F$13,C13,G13)</f>
        <v>1</v>
      </c>
      <c r="D14" s="41" t="str">
        <f>IF($B$13&gt;$F$13,D13,H13)</f>
        <v>A</v>
      </c>
      <c r="E14" s="39">
        <f>IF($B$13&gt;$F$13,E13,A13)</f>
        <v>24</v>
      </c>
      <c r="F14" s="40">
        <f>IF($B$13&gt;$F$13,F13,B13)</f>
        <v>12</v>
      </c>
      <c r="G14" s="40">
        <f>IF($B$13&gt;$F$13,G13,C13)</f>
        <v>2</v>
      </c>
      <c r="H14" s="41" t="str">
        <f>IF($B$13&gt;$F$13,H13,D13)</f>
        <v>Q</v>
      </c>
      <c r="N14" s="21" t="s">
        <v>3</v>
      </c>
      <c r="O14" s="22">
        <v>1</v>
      </c>
      <c r="P14" s="22">
        <v>13</v>
      </c>
      <c r="Q14" s="23" t="s">
        <v>12</v>
      </c>
      <c r="R14" s="24" t="s">
        <v>15</v>
      </c>
    </row>
    <row r="15" spans="1:18">
      <c r="A15" s="85" t="s">
        <v>94</v>
      </c>
      <c r="B15" s="87" t="str">
        <f>D14&amp;H14&amp; IF(D14&lt;&gt;H14,IF(C14=G14,"s","o"),"")</f>
        <v>AQo</v>
      </c>
      <c r="C15" s="83" t="s">
        <v>95</v>
      </c>
      <c r="D15" s="86" t="s">
        <v>96</v>
      </c>
      <c r="E15" s="86" t="s">
        <v>97</v>
      </c>
      <c r="F15" s="86" t="s">
        <v>98</v>
      </c>
      <c r="G15" s="86" t="s">
        <v>99</v>
      </c>
      <c r="H15" s="86" t="s">
        <v>100</v>
      </c>
      <c r="I15" s="86" t="s">
        <v>101</v>
      </c>
      <c r="J15" s="84" t="s">
        <v>102</v>
      </c>
      <c r="K15" s="87" t="s">
        <v>108</v>
      </c>
      <c r="L15" s="87" t="s">
        <v>109</v>
      </c>
      <c r="N15" s="7">
        <v>2</v>
      </c>
      <c r="O15" s="8">
        <v>2</v>
      </c>
      <c r="P15" s="8">
        <v>14</v>
      </c>
      <c r="Q15" s="25" t="s">
        <v>11</v>
      </c>
      <c r="R15" s="26" t="s">
        <v>28</v>
      </c>
    </row>
    <row r="16" spans="1:18">
      <c r="A16" s="88">
        <v>2</v>
      </c>
      <c r="B16" s="94">
        <f>IFERROR(VLOOKUP($B$15,StartingHands,A16,0),1/A16)</f>
        <v>0.67079999999999995</v>
      </c>
      <c r="C16" s="95">
        <f>(1-$B16)/($A16-1)</f>
        <v>0.32920000000000005</v>
      </c>
      <c r="D16" s="96"/>
      <c r="E16" s="96"/>
      <c r="F16" s="96"/>
      <c r="G16" s="96"/>
      <c r="H16" s="96"/>
      <c r="I16" s="96"/>
      <c r="J16" s="97"/>
      <c r="K16" s="94">
        <f>1/A16</f>
        <v>0.5</v>
      </c>
      <c r="L16" s="124">
        <f>IF(B16&lt;K16-$B$9,-1,IF(B16&gt;K16+$B$9,1,0))</f>
        <v>1</v>
      </c>
      <c r="N16" s="14">
        <v>3</v>
      </c>
      <c r="O16" s="15">
        <v>2</v>
      </c>
      <c r="P16" s="15">
        <v>15</v>
      </c>
      <c r="Q16" s="27" t="s">
        <v>11</v>
      </c>
      <c r="R16" s="28" t="s">
        <v>29</v>
      </c>
    </row>
    <row r="17" spans="1:18">
      <c r="A17" s="89">
        <v>3</v>
      </c>
      <c r="B17" s="98">
        <f>IFERROR(VLOOKUP($B$15,StartingHands,A17,0),1/A17)</f>
        <v>0.45019999999999999</v>
      </c>
      <c r="C17" s="99">
        <f>(1-$B17)/($A17-1)</f>
        <v>0.27490000000000003</v>
      </c>
      <c r="D17" s="100">
        <f>(1-$B17)/($A17-1)</f>
        <v>0.27490000000000003</v>
      </c>
      <c r="E17" s="96"/>
      <c r="F17" s="96"/>
      <c r="G17" s="96"/>
      <c r="H17" s="96"/>
      <c r="I17" s="96"/>
      <c r="J17" s="97"/>
      <c r="K17" s="98">
        <f t="shared" ref="K17:K23" si="0">1/A17</f>
        <v>0.33333333333333331</v>
      </c>
      <c r="L17" s="125">
        <f>IF(B17&lt;K17-$B$9,-1,IF(B17&gt;K17+$B$9,1,0))</f>
        <v>1</v>
      </c>
      <c r="N17" s="14">
        <v>4</v>
      </c>
      <c r="O17" s="15">
        <v>2</v>
      </c>
      <c r="P17" s="15">
        <v>16</v>
      </c>
      <c r="Q17" s="27" t="s">
        <v>11</v>
      </c>
      <c r="R17" s="28" t="s">
        <v>30</v>
      </c>
    </row>
    <row r="18" spans="1:18">
      <c r="A18" s="88">
        <v>4</v>
      </c>
      <c r="B18" s="94">
        <f>IFERROR(VLOOKUP($B$15,StartingHands,A18,0),1/A18)</f>
        <v>0.34339999999999998</v>
      </c>
      <c r="C18" s="95">
        <f>(1-$B18)/($A18-1)</f>
        <v>0.21886666666666668</v>
      </c>
      <c r="D18" s="101">
        <f>(1-$B18)/($A18-1)</f>
        <v>0.21886666666666668</v>
      </c>
      <c r="E18" s="101">
        <f>(1-$B18)/($A18-1)</f>
        <v>0.21886666666666668</v>
      </c>
      <c r="F18" s="96"/>
      <c r="G18" s="96"/>
      <c r="H18" s="96"/>
      <c r="I18" s="96"/>
      <c r="J18" s="97"/>
      <c r="K18" s="94">
        <f t="shared" si="0"/>
        <v>0.25</v>
      </c>
      <c r="L18" s="124">
        <f>IF(B18&lt;K18-$B$9,-1,IF(B18&gt;K18+$B$9,1,0))</f>
        <v>1</v>
      </c>
      <c r="N18" s="14">
        <v>5</v>
      </c>
      <c r="O18" s="15">
        <v>2</v>
      </c>
      <c r="P18" s="15">
        <v>17</v>
      </c>
      <c r="Q18" s="27" t="s">
        <v>11</v>
      </c>
      <c r="R18" s="28" t="s">
        <v>31</v>
      </c>
    </row>
    <row r="19" spans="1:18">
      <c r="A19" s="89">
        <v>5</v>
      </c>
      <c r="B19" s="98">
        <f>IFERROR(VLOOKUP($B$15,StartingHands,A19,0),1/A19)</f>
        <v>0.2838</v>
      </c>
      <c r="C19" s="99">
        <f>(1-$B19)/($A19-1)</f>
        <v>0.17904999999999999</v>
      </c>
      <c r="D19" s="100">
        <f>(1-$B19)/($A19-1)</f>
        <v>0.17904999999999999</v>
      </c>
      <c r="E19" s="100">
        <f>(1-$B19)/($A19-1)</f>
        <v>0.17904999999999999</v>
      </c>
      <c r="F19" s="100">
        <f>(1-$B19)/($A19-1)</f>
        <v>0.17904999999999999</v>
      </c>
      <c r="G19" s="96"/>
      <c r="H19" s="96"/>
      <c r="I19" s="96"/>
      <c r="J19" s="97"/>
      <c r="K19" s="98">
        <f t="shared" si="0"/>
        <v>0.2</v>
      </c>
      <c r="L19" s="125">
        <f>IF(B19&lt;K19-$B$9,-1,IF(B19&gt;K19+$B$9,1,0))</f>
        <v>1</v>
      </c>
      <c r="N19" s="14">
        <v>6</v>
      </c>
      <c r="O19" s="15">
        <v>2</v>
      </c>
      <c r="P19" s="15">
        <v>18</v>
      </c>
      <c r="Q19" s="27" t="s">
        <v>11</v>
      </c>
      <c r="R19" s="28" t="s">
        <v>32</v>
      </c>
    </row>
    <row r="20" spans="1:18">
      <c r="A20" s="88">
        <v>6</v>
      </c>
      <c r="B20" s="94">
        <f>IFERROR(VLOOKUP($B$15,StartingHands,A20,0),1/A20)</f>
        <v>0.23469999999999999</v>
      </c>
      <c r="C20" s="95">
        <f>(1-$B20)/($A20-1)</f>
        <v>0.15306</v>
      </c>
      <c r="D20" s="101">
        <f>(1-$B20)/($A20-1)</f>
        <v>0.15306</v>
      </c>
      <c r="E20" s="101">
        <f>(1-$B20)/($A20-1)</f>
        <v>0.15306</v>
      </c>
      <c r="F20" s="101">
        <f>(1-$B20)/($A20-1)</f>
        <v>0.15306</v>
      </c>
      <c r="G20" s="101">
        <f>(1-$B20)/($A20-1)</f>
        <v>0.15306</v>
      </c>
      <c r="H20" s="96"/>
      <c r="I20" s="96"/>
      <c r="J20" s="97"/>
      <c r="K20" s="94">
        <f t="shared" si="0"/>
        <v>0.16666666666666666</v>
      </c>
      <c r="L20" s="124">
        <f>IF(B20&lt;K20-$B$9,-1,IF(B20&gt;K20+$B$9,1,0))</f>
        <v>1</v>
      </c>
      <c r="N20" s="14">
        <v>7</v>
      </c>
      <c r="O20" s="15">
        <v>2</v>
      </c>
      <c r="P20" s="15">
        <v>19</v>
      </c>
      <c r="Q20" s="27" t="s">
        <v>11</v>
      </c>
      <c r="R20" s="28" t="s">
        <v>33</v>
      </c>
    </row>
    <row r="21" spans="1:18">
      <c r="A21" s="89">
        <v>7</v>
      </c>
      <c r="B21" s="98">
        <f>IFERROR(VLOOKUP($B$15,StartingHands,A21,0),1/A21)</f>
        <v>0.17849999999999999</v>
      </c>
      <c r="C21" s="99">
        <f>(1-$B21)/($A21-1)</f>
        <v>0.13691666666666666</v>
      </c>
      <c r="D21" s="100">
        <f>(1-$B21)/($A21-1)</f>
        <v>0.13691666666666666</v>
      </c>
      <c r="E21" s="100">
        <f>(1-$B21)/($A21-1)</f>
        <v>0.13691666666666666</v>
      </c>
      <c r="F21" s="100">
        <f>(1-$B21)/($A21-1)</f>
        <v>0.13691666666666666</v>
      </c>
      <c r="G21" s="100">
        <f>(1-$B21)/($A21-1)</f>
        <v>0.13691666666666666</v>
      </c>
      <c r="H21" s="100">
        <f>(1-$B21)/($A21-1)</f>
        <v>0.13691666666666666</v>
      </c>
      <c r="I21" s="96"/>
      <c r="J21" s="97"/>
      <c r="K21" s="98">
        <f t="shared" si="0"/>
        <v>0.14285714285714285</v>
      </c>
      <c r="L21" s="125">
        <f>IF(B21&lt;K21-$B$9,-1,IF(B21&gt;K21+$B$9,1,0))</f>
        <v>1</v>
      </c>
      <c r="N21" s="14">
        <v>8</v>
      </c>
      <c r="O21" s="15">
        <v>2</v>
      </c>
      <c r="P21" s="15">
        <v>20</v>
      </c>
      <c r="Q21" s="27" t="s">
        <v>11</v>
      </c>
      <c r="R21" s="28" t="s">
        <v>34</v>
      </c>
    </row>
    <row r="22" spans="1:18">
      <c r="A22" s="88">
        <v>8</v>
      </c>
      <c r="B22" s="94">
        <f>IFERROR(VLOOKUP($B$15,StartingHands,A22,0),1/A22)</f>
        <v>0.17230000000000001</v>
      </c>
      <c r="C22" s="95">
        <f>(1-$B22)/($A22-1)</f>
        <v>0.11824285714285714</v>
      </c>
      <c r="D22" s="101">
        <f>(1-$B22)/($A22-1)</f>
        <v>0.11824285714285714</v>
      </c>
      <c r="E22" s="101">
        <f>(1-$B22)/($A22-1)</f>
        <v>0.11824285714285714</v>
      </c>
      <c r="F22" s="101">
        <f>(1-$B22)/($A22-1)</f>
        <v>0.11824285714285714</v>
      </c>
      <c r="G22" s="101">
        <f>(1-$B22)/($A22-1)</f>
        <v>0.11824285714285714</v>
      </c>
      <c r="H22" s="101">
        <f>(1-$B22)/($A22-1)</f>
        <v>0.11824285714285714</v>
      </c>
      <c r="I22" s="101">
        <f>(1-$B22)/($A22-1)</f>
        <v>0.11824285714285714</v>
      </c>
      <c r="J22" s="97"/>
      <c r="K22" s="94">
        <f t="shared" si="0"/>
        <v>0.125</v>
      </c>
      <c r="L22" s="124">
        <f>IF(B22&lt;K22-$B$9,-1,IF(B22&gt;K22+$B$9,1,0))</f>
        <v>1</v>
      </c>
      <c r="N22" s="14">
        <v>9</v>
      </c>
      <c r="O22" s="15">
        <v>2</v>
      </c>
      <c r="P22" s="15">
        <v>21</v>
      </c>
      <c r="Q22" s="27" t="s">
        <v>11</v>
      </c>
      <c r="R22" s="28" t="s">
        <v>35</v>
      </c>
    </row>
    <row r="23" spans="1:18">
      <c r="A23" s="90">
        <v>9</v>
      </c>
      <c r="B23" s="118">
        <f>IFERROR(VLOOKUP($B$15,StartingHands,A23,0),1/A23)</f>
        <v>0.1603</v>
      </c>
      <c r="C23" s="102">
        <f>(1-$B23)/($A23-1)</f>
        <v>0.1049625</v>
      </c>
      <c r="D23" s="103">
        <f>(1-$B23)/($A23-1)</f>
        <v>0.1049625</v>
      </c>
      <c r="E23" s="103">
        <f>(1-$B23)/($A23-1)</f>
        <v>0.1049625</v>
      </c>
      <c r="F23" s="103">
        <f>(1-$B23)/($A23-1)</f>
        <v>0.1049625</v>
      </c>
      <c r="G23" s="103">
        <f>(1-$B23)/($A23-1)</f>
        <v>0.1049625</v>
      </c>
      <c r="H23" s="103">
        <f>(1-$B23)/($A23-1)</f>
        <v>0.1049625</v>
      </c>
      <c r="I23" s="103">
        <f>(1-$B23)/($A23-1)</f>
        <v>0.1049625</v>
      </c>
      <c r="J23" s="104">
        <f>(1-$B23)/($A23-1)</f>
        <v>0.1049625</v>
      </c>
      <c r="K23" s="118">
        <f t="shared" si="0"/>
        <v>0.1111111111111111</v>
      </c>
      <c r="L23" s="126">
        <f>IF(B23&lt;K23-$B$9,-1,IF(B23&gt;K23+$B$9,1,0))</f>
        <v>1</v>
      </c>
      <c r="N23" s="14" t="s">
        <v>4</v>
      </c>
      <c r="O23" s="15">
        <v>2</v>
      </c>
      <c r="P23" s="15">
        <v>22</v>
      </c>
      <c r="Q23" s="27" t="s">
        <v>11</v>
      </c>
      <c r="R23" s="28" t="s">
        <v>64</v>
      </c>
    </row>
    <row r="24" spans="1:18">
      <c r="N24" s="14" t="s">
        <v>5</v>
      </c>
      <c r="O24" s="15">
        <v>2</v>
      </c>
      <c r="P24" s="15">
        <v>23</v>
      </c>
      <c r="Q24" s="27" t="s">
        <v>11</v>
      </c>
      <c r="R24" s="28" t="s">
        <v>36</v>
      </c>
    </row>
    <row r="25" spans="1:18">
      <c r="A25" s="85" t="s">
        <v>94</v>
      </c>
      <c r="B25" s="87" t="s">
        <v>111</v>
      </c>
      <c r="C25" s="87" t="s">
        <v>112</v>
      </c>
      <c r="D25" s="87" t="s">
        <v>113</v>
      </c>
      <c r="E25" s="83" t="s">
        <v>95</v>
      </c>
      <c r="F25" s="86" t="s">
        <v>96</v>
      </c>
      <c r="G25" s="86" t="s">
        <v>97</v>
      </c>
      <c r="H25" s="86" t="s">
        <v>98</v>
      </c>
      <c r="I25" s="86" t="s">
        <v>99</v>
      </c>
      <c r="J25" s="86" t="s">
        <v>100</v>
      </c>
      <c r="K25" s="86" t="s">
        <v>101</v>
      </c>
      <c r="L25" s="84" t="s">
        <v>102</v>
      </c>
      <c r="N25" s="14" t="s">
        <v>6</v>
      </c>
      <c r="O25" s="15">
        <v>2</v>
      </c>
      <c r="P25" s="15">
        <v>24</v>
      </c>
      <c r="Q25" s="27" t="s">
        <v>11</v>
      </c>
      <c r="R25" s="28" t="s">
        <v>37</v>
      </c>
    </row>
    <row r="26" spans="1:18">
      <c r="A26" s="88">
        <v>2</v>
      </c>
      <c r="B26" s="94">
        <f>IF(L16=1,B16,0)</f>
        <v>0.67079999999999995</v>
      </c>
      <c r="C26" s="94">
        <f>IF(L16=0,B16,0)</f>
        <v>0</v>
      </c>
      <c r="D26" s="94">
        <f>IF(L16=-1,B16,0)</f>
        <v>0</v>
      </c>
      <c r="E26" s="95">
        <f>C16</f>
        <v>0.32920000000000005</v>
      </c>
      <c r="F26" s="96"/>
      <c r="G26" s="96"/>
      <c r="H26" s="96"/>
      <c r="I26" s="96"/>
      <c r="J26" s="96"/>
      <c r="K26" s="96"/>
      <c r="L26" s="97"/>
      <c r="N26" s="14" t="s">
        <v>7</v>
      </c>
      <c r="O26" s="15">
        <v>2</v>
      </c>
      <c r="P26" s="15">
        <v>25</v>
      </c>
      <c r="Q26" s="27" t="s">
        <v>11</v>
      </c>
      <c r="R26" s="28" t="s">
        <v>38</v>
      </c>
    </row>
    <row r="27" spans="1:18">
      <c r="A27" s="89">
        <v>3</v>
      </c>
      <c r="B27" s="98">
        <f t="shared" ref="B27:B33" si="1">IF(L17=1,B17,0)</f>
        <v>0.45019999999999999</v>
      </c>
      <c r="C27" s="98">
        <f t="shared" ref="C27:C33" si="2">IF(L17=0,B17,0)</f>
        <v>0</v>
      </c>
      <c r="D27" s="98">
        <f t="shared" ref="D27:D33" si="3">IF(L17=-1,B17,0)</f>
        <v>0</v>
      </c>
      <c r="E27" s="99">
        <f t="shared" ref="E27:F27" si="4">C17</f>
        <v>0.27490000000000003</v>
      </c>
      <c r="F27" s="100">
        <f t="shared" si="4"/>
        <v>0.27490000000000003</v>
      </c>
      <c r="G27" s="96"/>
      <c r="H27" s="96"/>
      <c r="I27" s="96"/>
      <c r="J27" s="96"/>
      <c r="K27" s="96"/>
      <c r="L27" s="97"/>
      <c r="N27" s="21" t="s">
        <v>3</v>
      </c>
      <c r="O27" s="22">
        <v>2</v>
      </c>
      <c r="P27" s="22">
        <v>26</v>
      </c>
      <c r="Q27" s="29" t="s">
        <v>11</v>
      </c>
      <c r="R27" s="30" t="s">
        <v>27</v>
      </c>
    </row>
    <row r="28" spans="1:18">
      <c r="A28" s="88">
        <v>4</v>
      </c>
      <c r="B28" s="94">
        <f t="shared" si="1"/>
        <v>0.34339999999999998</v>
      </c>
      <c r="C28" s="94">
        <f t="shared" si="2"/>
        <v>0</v>
      </c>
      <c r="D28" s="94">
        <f t="shared" si="3"/>
        <v>0</v>
      </c>
      <c r="E28" s="95">
        <f t="shared" ref="E28:G28" si="5">C18</f>
        <v>0.21886666666666668</v>
      </c>
      <c r="F28" s="101">
        <f t="shared" si="5"/>
        <v>0.21886666666666668</v>
      </c>
      <c r="G28" s="101">
        <f t="shared" si="5"/>
        <v>0.21886666666666668</v>
      </c>
      <c r="H28" s="96"/>
      <c r="I28" s="96"/>
      <c r="J28" s="96"/>
      <c r="K28" s="96"/>
      <c r="L28" s="97"/>
      <c r="N28" s="7">
        <v>2</v>
      </c>
      <c r="O28" s="8">
        <v>3</v>
      </c>
      <c r="P28" s="8">
        <v>27</v>
      </c>
      <c r="Q28" s="31" t="s">
        <v>10</v>
      </c>
      <c r="R28" s="10" t="s">
        <v>40</v>
      </c>
    </row>
    <row r="29" spans="1:18">
      <c r="A29" s="89">
        <v>5</v>
      </c>
      <c r="B29" s="98">
        <f t="shared" si="1"/>
        <v>0.2838</v>
      </c>
      <c r="C29" s="98">
        <f t="shared" si="2"/>
        <v>0</v>
      </c>
      <c r="D29" s="98">
        <f t="shared" si="3"/>
        <v>0</v>
      </c>
      <c r="E29" s="99">
        <f t="shared" ref="E29:H29" si="6">C19</f>
        <v>0.17904999999999999</v>
      </c>
      <c r="F29" s="100">
        <f t="shared" si="6"/>
        <v>0.17904999999999999</v>
      </c>
      <c r="G29" s="100">
        <f t="shared" si="6"/>
        <v>0.17904999999999999</v>
      </c>
      <c r="H29" s="100">
        <f t="shared" si="6"/>
        <v>0.17904999999999999</v>
      </c>
      <c r="I29" s="96"/>
      <c r="J29" s="96"/>
      <c r="K29" s="96"/>
      <c r="L29" s="97"/>
      <c r="N29" s="14">
        <v>3</v>
      </c>
      <c r="O29" s="15">
        <v>3</v>
      </c>
      <c r="P29" s="15">
        <v>28</v>
      </c>
      <c r="Q29" s="32" t="s">
        <v>10</v>
      </c>
      <c r="R29" s="17" t="s">
        <v>41</v>
      </c>
    </row>
    <row r="30" spans="1:18">
      <c r="A30" s="88">
        <v>6</v>
      </c>
      <c r="B30" s="94">
        <f t="shared" si="1"/>
        <v>0.23469999999999999</v>
      </c>
      <c r="C30" s="94">
        <f t="shared" si="2"/>
        <v>0</v>
      </c>
      <c r="D30" s="94">
        <f t="shared" si="3"/>
        <v>0</v>
      </c>
      <c r="E30" s="95">
        <f t="shared" ref="E30:I30" si="7">C20</f>
        <v>0.15306</v>
      </c>
      <c r="F30" s="101">
        <f t="shared" si="7"/>
        <v>0.15306</v>
      </c>
      <c r="G30" s="101">
        <f t="shared" si="7"/>
        <v>0.15306</v>
      </c>
      <c r="H30" s="101">
        <f t="shared" si="7"/>
        <v>0.15306</v>
      </c>
      <c r="I30" s="101">
        <f t="shared" si="7"/>
        <v>0.15306</v>
      </c>
      <c r="J30" s="96"/>
      <c r="K30" s="96"/>
      <c r="L30" s="97"/>
      <c r="N30" s="14">
        <v>4</v>
      </c>
      <c r="O30" s="15">
        <v>3</v>
      </c>
      <c r="P30" s="15">
        <v>29</v>
      </c>
      <c r="Q30" s="32" t="s">
        <v>10</v>
      </c>
      <c r="R30" s="17" t="s">
        <v>42</v>
      </c>
    </row>
    <row r="31" spans="1:18">
      <c r="A31" s="89">
        <v>7</v>
      </c>
      <c r="B31" s="98">
        <f t="shared" si="1"/>
        <v>0.17849999999999999</v>
      </c>
      <c r="C31" s="98">
        <f t="shared" si="2"/>
        <v>0</v>
      </c>
      <c r="D31" s="98">
        <f t="shared" si="3"/>
        <v>0</v>
      </c>
      <c r="E31" s="99">
        <f t="shared" ref="E31:J31" si="8">C21</f>
        <v>0.13691666666666666</v>
      </c>
      <c r="F31" s="100">
        <f t="shared" si="8"/>
        <v>0.13691666666666666</v>
      </c>
      <c r="G31" s="100">
        <f t="shared" si="8"/>
        <v>0.13691666666666666</v>
      </c>
      <c r="H31" s="100">
        <f t="shared" si="8"/>
        <v>0.13691666666666666</v>
      </c>
      <c r="I31" s="100">
        <f t="shared" si="8"/>
        <v>0.13691666666666666</v>
      </c>
      <c r="J31" s="100">
        <f t="shared" si="8"/>
        <v>0.13691666666666666</v>
      </c>
      <c r="K31" s="96"/>
      <c r="L31" s="97"/>
      <c r="N31" s="14">
        <v>5</v>
      </c>
      <c r="O31" s="15">
        <v>3</v>
      </c>
      <c r="P31" s="15">
        <v>30</v>
      </c>
      <c r="Q31" s="32" t="s">
        <v>10</v>
      </c>
      <c r="R31" s="17" t="s">
        <v>43</v>
      </c>
    </row>
    <row r="32" spans="1:18">
      <c r="A32" s="88">
        <v>8</v>
      </c>
      <c r="B32" s="94">
        <f t="shared" si="1"/>
        <v>0.17230000000000001</v>
      </c>
      <c r="C32" s="94">
        <f t="shared" si="2"/>
        <v>0</v>
      </c>
      <c r="D32" s="94">
        <f t="shared" si="3"/>
        <v>0</v>
      </c>
      <c r="E32" s="95">
        <f t="shared" ref="E32:K32" si="9">C22</f>
        <v>0.11824285714285714</v>
      </c>
      <c r="F32" s="101">
        <f t="shared" si="9"/>
        <v>0.11824285714285714</v>
      </c>
      <c r="G32" s="101">
        <f t="shared" si="9"/>
        <v>0.11824285714285714</v>
      </c>
      <c r="H32" s="101">
        <f t="shared" si="9"/>
        <v>0.11824285714285714</v>
      </c>
      <c r="I32" s="101">
        <f t="shared" si="9"/>
        <v>0.11824285714285714</v>
      </c>
      <c r="J32" s="101">
        <f t="shared" si="9"/>
        <v>0.11824285714285714</v>
      </c>
      <c r="K32" s="101">
        <f t="shared" si="9"/>
        <v>0.11824285714285714</v>
      </c>
      <c r="L32" s="97"/>
      <c r="N32" s="14">
        <v>6</v>
      </c>
      <c r="O32" s="15">
        <v>3</v>
      </c>
      <c r="P32" s="15">
        <v>31</v>
      </c>
      <c r="Q32" s="32" t="s">
        <v>10</v>
      </c>
      <c r="R32" s="17" t="s">
        <v>44</v>
      </c>
    </row>
    <row r="33" spans="1:18">
      <c r="A33" s="90">
        <v>9</v>
      </c>
      <c r="B33" s="118">
        <f t="shared" si="1"/>
        <v>0.1603</v>
      </c>
      <c r="C33" s="118">
        <f t="shared" si="2"/>
        <v>0</v>
      </c>
      <c r="D33" s="118">
        <f t="shared" si="3"/>
        <v>0</v>
      </c>
      <c r="E33" s="102">
        <f t="shared" ref="E33:L33" si="10">C23</f>
        <v>0.1049625</v>
      </c>
      <c r="F33" s="103">
        <f t="shared" si="10"/>
        <v>0.1049625</v>
      </c>
      <c r="G33" s="103">
        <f t="shared" si="10"/>
        <v>0.1049625</v>
      </c>
      <c r="H33" s="103">
        <f t="shared" si="10"/>
        <v>0.1049625</v>
      </c>
      <c r="I33" s="103">
        <f t="shared" si="10"/>
        <v>0.1049625</v>
      </c>
      <c r="J33" s="103">
        <f t="shared" si="10"/>
        <v>0.1049625</v>
      </c>
      <c r="K33" s="103">
        <f t="shared" si="10"/>
        <v>0.1049625</v>
      </c>
      <c r="L33" s="104">
        <f t="shared" si="10"/>
        <v>0.1049625</v>
      </c>
      <c r="N33" s="14">
        <v>7</v>
      </c>
      <c r="O33" s="15">
        <v>3</v>
      </c>
      <c r="P33" s="15">
        <v>32</v>
      </c>
      <c r="Q33" s="32" t="s">
        <v>10</v>
      </c>
      <c r="R33" s="17" t="s">
        <v>45</v>
      </c>
    </row>
    <row r="34" spans="1:18">
      <c r="N34" s="14">
        <v>8</v>
      </c>
      <c r="O34" s="15">
        <v>3</v>
      </c>
      <c r="P34" s="15">
        <v>33</v>
      </c>
      <c r="Q34" s="32" t="s">
        <v>10</v>
      </c>
      <c r="R34" s="17" t="s">
        <v>46</v>
      </c>
    </row>
    <row r="35" spans="1:18">
      <c r="A35" s="132" t="s">
        <v>115</v>
      </c>
      <c r="B35" s="133"/>
      <c r="N35" s="14">
        <v>9</v>
      </c>
      <c r="O35" s="15">
        <v>3</v>
      </c>
      <c r="P35" s="15">
        <v>34</v>
      </c>
      <c r="Q35" s="32" t="s">
        <v>10</v>
      </c>
      <c r="R35" s="17" t="s">
        <v>47</v>
      </c>
    </row>
    <row r="36" spans="1:18">
      <c r="A36" s="141" t="s">
        <v>116</v>
      </c>
      <c r="B36" s="20">
        <f>NumberOfPlayers</f>
        <v>6</v>
      </c>
      <c r="N36" s="14" t="s">
        <v>4</v>
      </c>
      <c r="O36" s="15">
        <v>3</v>
      </c>
      <c r="P36" s="15">
        <v>35</v>
      </c>
      <c r="Q36" s="32" t="s">
        <v>10</v>
      </c>
      <c r="R36" s="17" t="s">
        <v>65</v>
      </c>
    </row>
    <row r="37" spans="1:18">
      <c r="A37" s="142" t="s">
        <v>117</v>
      </c>
      <c r="B37" s="135">
        <f>Table!K7</f>
        <v>0.23499999999999999</v>
      </c>
      <c r="N37" s="14" t="s">
        <v>5</v>
      </c>
      <c r="O37" s="15">
        <v>3</v>
      </c>
      <c r="P37" s="15">
        <v>36</v>
      </c>
      <c r="Q37" s="32" t="s">
        <v>10</v>
      </c>
      <c r="R37" s="17" t="s">
        <v>48</v>
      </c>
    </row>
    <row r="38" spans="1:18">
      <c r="A38" s="148" t="s">
        <v>118</v>
      </c>
      <c r="B38" s="130">
        <f>1/B36</f>
        <v>0.16666666666666666</v>
      </c>
      <c r="N38" s="14" t="s">
        <v>6</v>
      </c>
      <c r="O38" s="15">
        <v>3</v>
      </c>
      <c r="P38" s="15">
        <v>37</v>
      </c>
      <c r="Q38" s="32" t="s">
        <v>10</v>
      </c>
      <c r="R38" s="17" t="s">
        <v>49</v>
      </c>
    </row>
    <row r="39" spans="1:18">
      <c r="A39" s="147" t="s">
        <v>109</v>
      </c>
      <c r="B39" s="41">
        <f>IF(B37&lt;B38-$B$9,-1,IF(B37&gt;B38+$B$9,1,0))</f>
        <v>1</v>
      </c>
      <c r="N39" s="14" t="s">
        <v>7</v>
      </c>
      <c r="O39" s="15">
        <v>3</v>
      </c>
      <c r="P39" s="15">
        <v>38</v>
      </c>
      <c r="Q39" s="32" t="s">
        <v>10</v>
      </c>
      <c r="R39" s="17" t="s">
        <v>50</v>
      </c>
    </row>
    <row r="40" spans="1:18">
      <c r="A40" s="146" t="s">
        <v>111</v>
      </c>
      <c r="B40" s="139">
        <f>IF(B39=1,B37,0)</f>
        <v>0.23499999999999999</v>
      </c>
      <c r="N40" s="21" t="s">
        <v>3</v>
      </c>
      <c r="O40" s="22">
        <v>3</v>
      </c>
      <c r="P40" s="22">
        <v>39</v>
      </c>
      <c r="Q40" s="33" t="s">
        <v>10</v>
      </c>
      <c r="R40" s="24" t="s">
        <v>39</v>
      </c>
    </row>
    <row r="41" spans="1:18">
      <c r="A41" s="146" t="s">
        <v>112</v>
      </c>
      <c r="B41" s="139">
        <f>IF(B39=0,B37,0)</f>
        <v>0</v>
      </c>
      <c r="N41" s="7">
        <v>2</v>
      </c>
      <c r="O41" s="8">
        <v>4</v>
      </c>
      <c r="P41" s="8">
        <v>40</v>
      </c>
      <c r="Q41" s="34" t="s">
        <v>13</v>
      </c>
      <c r="R41" s="26" t="s">
        <v>52</v>
      </c>
    </row>
    <row r="42" spans="1:18">
      <c r="A42" s="147" t="s">
        <v>113</v>
      </c>
      <c r="B42" s="140">
        <f>IF(B39=-1,B37,0)</f>
        <v>0</v>
      </c>
      <c r="N42" s="14">
        <v>3</v>
      </c>
      <c r="O42" s="15">
        <v>4</v>
      </c>
      <c r="P42" s="15">
        <v>41</v>
      </c>
      <c r="Q42" s="35" t="s">
        <v>13</v>
      </c>
      <c r="R42" s="28" t="s">
        <v>53</v>
      </c>
    </row>
    <row r="43" spans="1:18">
      <c r="A43" s="143">
        <v>2</v>
      </c>
      <c r="B43" s="136">
        <f>IF(A43&lt;=$B$36,(1-$B$37)/$B$36,0)</f>
        <v>0.1275</v>
      </c>
      <c r="N43" s="14">
        <v>4</v>
      </c>
      <c r="O43" s="15">
        <v>4</v>
      </c>
      <c r="P43" s="15">
        <v>42</v>
      </c>
      <c r="Q43" s="35" t="s">
        <v>13</v>
      </c>
      <c r="R43" s="28" t="s">
        <v>54</v>
      </c>
    </row>
    <row r="44" spans="1:18">
      <c r="A44" s="144">
        <v>3</v>
      </c>
      <c r="B44" s="137">
        <f>IF(A44&lt;=$B$36,(1-$B$37)/$B$36,0)</f>
        <v>0.1275</v>
      </c>
      <c r="N44" s="14">
        <v>5</v>
      </c>
      <c r="O44" s="15">
        <v>4</v>
      </c>
      <c r="P44" s="15">
        <v>43</v>
      </c>
      <c r="Q44" s="35" t="s">
        <v>13</v>
      </c>
      <c r="R44" s="28" t="s">
        <v>55</v>
      </c>
    </row>
    <row r="45" spans="1:18">
      <c r="A45" s="144">
        <v>4</v>
      </c>
      <c r="B45" s="137">
        <f>IF(A45&lt;=$B$36,(1-$B$37)/$B$36,0)</f>
        <v>0.1275</v>
      </c>
      <c r="N45" s="14">
        <v>6</v>
      </c>
      <c r="O45" s="15">
        <v>4</v>
      </c>
      <c r="P45" s="15">
        <v>44</v>
      </c>
      <c r="Q45" s="35" t="s">
        <v>13</v>
      </c>
      <c r="R45" s="28" t="s">
        <v>56</v>
      </c>
    </row>
    <row r="46" spans="1:18">
      <c r="A46" s="144">
        <v>5</v>
      </c>
      <c r="B46" s="137">
        <f>IF(A46&lt;=$B$36,(1-$B$37)/$B$36,0)</f>
        <v>0.1275</v>
      </c>
      <c r="N46" s="14">
        <v>7</v>
      </c>
      <c r="O46" s="15">
        <v>4</v>
      </c>
      <c r="P46" s="15">
        <v>45</v>
      </c>
      <c r="Q46" s="35" t="s">
        <v>13</v>
      </c>
      <c r="R46" s="28" t="s">
        <v>57</v>
      </c>
    </row>
    <row r="47" spans="1:18">
      <c r="A47" s="144">
        <v>6</v>
      </c>
      <c r="B47" s="137">
        <f>IF(A47&lt;=$B$36,(1-$B$37)/$B$36,0)</f>
        <v>0.1275</v>
      </c>
      <c r="N47" s="14">
        <v>8</v>
      </c>
      <c r="O47" s="15">
        <v>4</v>
      </c>
      <c r="P47" s="15">
        <v>46</v>
      </c>
      <c r="Q47" s="35" t="s">
        <v>13</v>
      </c>
      <c r="R47" s="28" t="s">
        <v>58</v>
      </c>
    </row>
    <row r="48" spans="1:18">
      <c r="A48" s="144">
        <v>7</v>
      </c>
      <c r="B48" s="137">
        <f>IF(A48&lt;=$B$36,(1-$B$37)/$B$36,0)</f>
        <v>0</v>
      </c>
      <c r="N48" s="14">
        <v>9</v>
      </c>
      <c r="O48" s="15">
        <v>4</v>
      </c>
      <c r="P48" s="15">
        <v>47</v>
      </c>
      <c r="Q48" s="35" t="s">
        <v>13</v>
      </c>
      <c r="R48" s="28" t="s">
        <v>59</v>
      </c>
    </row>
    <row r="49" spans="1:18">
      <c r="A49" s="144">
        <v>8</v>
      </c>
      <c r="B49" s="137">
        <f>IF(A49&lt;=$B$36,(1-$B$37)/$B$36,0)</f>
        <v>0</v>
      </c>
      <c r="N49" s="14" t="s">
        <v>4</v>
      </c>
      <c r="O49" s="15">
        <v>4</v>
      </c>
      <c r="P49" s="15">
        <v>48</v>
      </c>
      <c r="Q49" s="35" t="s">
        <v>13</v>
      </c>
      <c r="R49" s="28" t="s">
        <v>66</v>
      </c>
    </row>
    <row r="50" spans="1:18">
      <c r="A50" s="145">
        <v>9</v>
      </c>
      <c r="B50" s="138">
        <f>IF(A50&lt;=$B$36,(1-$B$37)/$B$36,0)</f>
        <v>0</v>
      </c>
      <c r="N50" s="14" t="s">
        <v>5</v>
      </c>
      <c r="O50" s="15">
        <v>4</v>
      </c>
      <c r="P50" s="15">
        <v>49</v>
      </c>
      <c r="Q50" s="35" t="s">
        <v>13</v>
      </c>
      <c r="R50" s="28" t="s">
        <v>60</v>
      </c>
    </row>
    <row r="51" spans="1:18">
      <c r="N51" s="14" t="s">
        <v>6</v>
      </c>
      <c r="O51" s="15">
        <v>4</v>
      </c>
      <c r="P51" s="15">
        <v>50</v>
      </c>
      <c r="Q51" s="35" t="s">
        <v>13</v>
      </c>
      <c r="R51" s="28" t="s">
        <v>61</v>
      </c>
    </row>
    <row r="52" spans="1:18">
      <c r="N52" s="14" t="s">
        <v>7</v>
      </c>
      <c r="O52" s="15">
        <v>4</v>
      </c>
      <c r="P52" s="15">
        <v>51</v>
      </c>
      <c r="Q52" s="35" t="s">
        <v>13</v>
      </c>
      <c r="R52" s="28" t="s">
        <v>62</v>
      </c>
    </row>
    <row r="53" spans="1:18">
      <c r="N53" s="21" t="s">
        <v>3</v>
      </c>
      <c r="O53" s="22">
        <v>4</v>
      </c>
      <c r="P53" s="22">
        <v>52</v>
      </c>
      <c r="Q53" s="36" t="s">
        <v>13</v>
      </c>
      <c r="R53" s="30" t="s">
        <v>51</v>
      </c>
    </row>
  </sheetData>
  <mergeCells count="1">
    <mergeCell ref="B1:C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E1335-CBA5-4FB8-A757-6C9B9ECD01F3}">
  <sheetPr codeName="Sheet6"/>
  <dimension ref="A1:BF171"/>
  <sheetViews>
    <sheetView showGridLines="0" topLeftCell="A5" workbookViewId="0">
      <selection activeCell="AG39" sqref="AG39"/>
    </sheetView>
  </sheetViews>
  <sheetFormatPr defaultColWidth="4.375" defaultRowHeight="12"/>
  <cols>
    <col min="1" max="1" width="2.375" style="43" bestFit="1" customWidth="1"/>
    <col min="2" max="14" width="3.5" style="43" bestFit="1" customWidth="1"/>
    <col min="15" max="15" width="4.375" style="43"/>
    <col min="16" max="16" width="2.375" style="43" bestFit="1" customWidth="1"/>
    <col min="17" max="29" width="3.5" style="43" bestFit="1" customWidth="1"/>
    <col min="30" max="30" width="4.375" style="43"/>
    <col min="31" max="31" width="2.375" style="43" bestFit="1" customWidth="1"/>
    <col min="32" max="44" width="3.5" style="43" bestFit="1" customWidth="1"/>
    <col min="45" max="45" width="4.375" style="43"/>
    <col min="46" max="47" width="2.375" style="43" bestFit="1" customWidth="1"/>
    <col min="48" max="49" width="1.875" style="43" bestFit="1" customWidth="1"/>
    <col min="50" max="50" width="7.125" style="43" bestFit="1" customWidth="1"/>
    <col min="51" max="58" width="3.5" style="43" bestFit="1" customWidth="1"/>
    <col min="59" max="16384" width="4.375" style="43"/>
  </cols>
  <sheetData>
    <row r="1" spans="1:58">
      <c r="A1" s="129" t="s">
        <v>79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P1" s="129" t="s">
        <v>80</v>
      </c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E1" s="129" t="s">
        <v>81</v>
      </c>
      <c r="AF1" s="129"/>
      <c r="AG1" s="129"/>
      <c r="AH1" s="129"/>
      <c r="AI1" s="129"/>
      <c r="AJ1" s="129"/>
      <c r="AK1" s="129"/>
      <c r="AL1" s="129"/>
      <c r="AM1" s="129"/>
      <c r="AN1" s="129"/>
      <c r="AO1" s="129"/>
      <c r="AP1" s="129"/>
      <c r="AQ1" s="129"/>
      <c r="AR1" s="129"/>
    </row>
    <row r="2" spans="1:58">
      <c r="A2" s="44"/>
      <c r="B2" s="45" t="s">
        <v>3</v>
      </c>
      <c r="C2" s="46" t="s">
        <v>7</v>
      </c>
      <c r="D2" s="46" t="s">
        <v>6</v>
      </c>
      <c r="E2" s="46" t="s">
        <v>5</v>
      </c>
      <c r="F2" s="46">
        <v>10</v>
      </c>
      <c r="G2" s="46">
        <v>9</v>
      </c>
      <c r="H2" s="46">
        <v>8</v>
      </c>
      <c r="I2" s="46">
        <v>7</v>
      </c>
      <c r="J2" s="46">
        <v>6</v>
      </c>
      <c r="K2" s="46">
        <v>5</v>
      </c>
      <c r="L2" s="46">
        <v>4</v>
      </c>
      <c r="M2" s="46">
        <v>3</v>
      </c>
      <c r="N2" s="47">
        <v>2</v>
      </c>
      <c r="P2" s="44"/>
      <c r="Q2" s="45" t="s">
        <v>3</v>
      </c>
      <c r="R2" s="46" t="s">
        <v>7</v>
      </c>
      <c r="S2" s="46" t="s">
        <v>6</v>
      </c>
      <c r="T2" s="46" t="s">
        <v>5</v>
      </c>
      <c r="U2" s="46">
        <v>10</v>
      </c>
      <c r="V2" s="46">
        <v>9</v>
      </c>
      <c r="W2" s="46">
        <v>8</v>
      </c>
      <c r="X2" s="46">
        <v>7</v>
      </c>
      <c r="Y2" s="46">
        <v>6</v>
      </c>
      <c r="Z2" s="46">
        <v>5</v>
      </c>
      <c r="AA2" s="46">
        <v>4</v>
      </c>
      <c r="AB2" s="46">
        <v>3</v>
      </c>
      <c r="AC2" s="47">
        <v>2</v>
      </c>
      <c r="AE2" s="44"/>
      <c r="AF2" s="45" t="s">
        <v>3</v>
      </c>
      <c r="AG2" s="46" t="s">
        <v>7</v>
      </c>
      <c r="AH2" s="46" t="s">
        <v>6</v>
      </c>
      <c r="AI2" s="46" t="s">
        <v>5</v>
      </c>
      <c r="AJ2" s="46">
        <v>10</v>
      </c>
      <c r="AK2" s="46">
        <v>9</v>
      </c>
      <c r="AL2" s="46">
        <v>8</v>
      </c>
      <c r="AM2" s="46">
        <v>7</v>
      </c>
      <c r="AN2" s="46">
        <v>6</v>
      </c>
      <c r="AO2" s="46">
        <v>5</v>
      </c>
      <c r="AP2" s="46">
        <v>4</v>
      </c>
      <c r="AQ2" s="46">
        <v>3</v>
      </c>
      <c r="AR2" s="47">
        <v>2</v>
      </c>
      <c r="AT2" s="80" t="s">
        <v>92</v>
      </c>
      <c r="AU2" s="81" t="s">
        <v>8</v>
      </c>
      <c r="AV2" s="81" t="s">
        <v>8</v>
      </c>
      <c r="AW2" s="81" t="s">
        <v>8</v>
      </c>
      <c r="AX2" s="81" t="s">
        <v>83</v>
      </c>
      <c r="AY2" s="80" t="s">
        <v>84</v>
      </c>
      <c r="AZ2" s="82" t="s">
        <v>85</v>
      </c>
      <c r="BA2" s="82" t="s">
        <v>86</v>
      </c>
      <c r="BB2" s="82" t="s">
        <v>87</v>
      </c>
      <c r="BC2" s="82" t="s">
        <v>88</v>
      </c>
      <c r="BD2" s="82" t="s">
        <v>89</v>
      </c>
      <c r="BE2" s="82" t="s">
        <v>90</v>
      </c>
      <c r="BF2" s="81" t="s">
        <v>91</v>
      </c>
    </row>
    <row r="3" spans="1:58" ht="12.75" thickBot="1">
      <c r="A3" s="48" t="s">
        <v>3</v>
      </c>
      <c r="B3" s="105">
        <v>1</v>
      </c>
      <c r="C3" s="106">
        <v>1</v>
      </c>
      <c r="D3" s="107">
        <v>1</v>
      </c>
      <c r="E3" s="107">
        <v>1</v>
      </c>
      <c r="F3" s="107">
        <v>1</v>
      </c>
      <c r="G3" s="107">
        <v>1</v>
      </c>
      <c r="H3" s="107">
        <v>1</v>
      </c>
      <c r="I3" s="107">
        <v>1</v>
      </c>
      <c r="J3" s="107">
        <v>1</v>
      </c>
      <c r="K3" s="107">
        <v>1</v>
      </c>
      <c r="L3" s="107">
        <v>1</v>
      </c>
      <c r="M3" s="107">
        <v>1</v>
      </c>
      <c r="N3" s="108">
        <v>1</v>
      </c>
      <c r="P3" s="48" t="s">
        <v>3</v>
      </c>
      <c r="Q3" s="49">
        <v>0.88829999999999998</v>
      </c>
      <c r="R3" s="50">
        <v>0.6915</v>
      </c>
      <c r="S3" s="51">
        <v>0.68910000000000005</v>
      </c>
      <c r="T3" s="51">
        <v>0.67020000000000002</v>
      </c>
      <c r="U3" s="51">
        <v>0.67430000000000001</v>
      </c>
      <c r="V3" s="51">
        <v>0.64500000000000002</v>
      </c>
      <c r="W3" s="51">
        <v>0.63660000000000005</v>
      </c>
      <c r="X3" s="51">
        <v>0.61429999999999996</v>
      </c>
      <c r="Y3" s="51">
        <v>0.59330000000000005</v>
      </c>
      <c r="Z3" s="51">
        <v>0.60970000000000002</v>
      </c>
      <c r="AA3" s="51">
        <v>0.59650000000000003</v>
      </c>
      <c r="AB3" s="51">
        <v>0.58509999999999995</v>
      </c>
      <c r="AC3" s="52">
        <v>0.58420000000000005</v>
      </c>
      <c r="AE3" s="48" t="s">
        <v>3</v>
      </c>
      <c r="AF3" s="49">
        <v>0.75929999999999997</v>
      </c>
      <c r="AG3" s="50">
        <v>0.49109999999999998</v>
      </c>
      <c r="AH3" s="51">
        <v>0.47920000000000001</v>
      </c>
      <c r="AI3" s="51">
        <v>0.45079999999999998</v>
      </c>
      <c r="AJ3" s="51">
        <v>0.45750000000000002</v>
      </c>
      <c r="AK3" s="51">
        <v>0.4168</v>
      </c>
      <c r="AL3" s="51">
        <v>0.40289999999999998</v>
      </c>
      <c r="AM3" s="51">
        <v>0.39350000000000002</v>
      </c>
      <c r="AN3" s="51">
        <v>0.3669</v>
      </c>
      <c r="AO3" s="51">
        <v>0.3735</v>
      </c>
      <c r="AP3" s="51">
        <v>0.37719999999999998</v>
      </c>
      <c r="AQ3" s="51">
        <v>0.3599</v>
      </c>
      <c r="AR3" s="52">
        <v>0.36099999999999999</v>
      </c>
      <c r="AT3" s="70">
        <v>1</v>
      </c>
      <c r="AU3" s="71">
        <v>1</v>
      </c>
      <c r="AV3" s="71" t="str" cm="1">
        <f t="array" ref="AV3">SUBSTITUTE(INDEX($A$3:$A$15,AT3),"10","T")</f>
        <v>A</v>
      </c>
      <c r="AW3" s="71" t="str" cm="1">
        <f t="array" ref="AW3">SUBSTITUTE(INDEX($B$2:$N$2,AU3),"10","T")</f>
        <v>A</v>
      </c>
      <c r="AX3" s="91" t="str">
        <f t="shared" ref="AX3" si="0">IF(AT3=AU3,AV3&amp;AW3,IF(AU3 &gt; AT3, AV3 &amp; AW3 &amp; "s",AW3 &amp; AV3 &amp; "o"))</f>
        <v>AA</v>
      </c>
      <c r="AY3" s="72" cm="1">
        <f t="array" ref="AY3">INDEX(starting2players,AT3,AU3)</f>
        <v>0.88829999999999998</v>
      </c>
      <c r="AZ3" s="73" cm="1">
        <f t="array" ref="AZ3">INDEX(starting3players,AT3,AU3)</f>
        <v>0.75929999999999997</v>
      </c>
      <c r="BA3" s="73" cm="1">
        <f t="array" ref="BA3">INDEX(starting4players,AT3,AU3)</f>
        <v>0.65180000000000005</v>
      </c>
      <c r="BB3" s="73" cm="1">
        <f t="array" ref="BB3">INDEX(starting5players,AT3,AU3)</f>
        <v>0.56730000000000003</v>
      </c>
      <c r="BC3" s="73" cm="1">
        <f t="array" ref="BC3">INDEX(starting6players,AT3,AU3)</f>
        <v>0.51480000000000004</v>
      </c>
      <c r="BD3" s="73" cm="1">
        <f t="array" ref="BD3">INDEX(starting7players,AT3,AU3)</f>
        <v>0.44619999999999999</v>
      </c>
      <c r="BE3" s="73" cm="1">
        <f t="array" ref="BE3">INDEX(starting8players,AT3,AU3)</f>
        <v>0.42370000000000002</v>
      </c>
      <c r="BF3" s="74" cm="1">
        <f t="array" ref="BF3">INDEX(starting9players,AT3,AU3)</f>
        <v>0.31659999999999999</v>
      </c>
    </row>
    <row r="4" spans="1:58" ht="13.5" thickTop="1" thickBot="1">
      <c r="A4" s="55" t="s">
        <v>7</v>
      </c>
      <c r="B4" s="109">
        <v>1</v>
      </c>
      <c r="C4" s="110">
        <v>1</v>
      </c>
      <c r="D4" s="111">
        <v>1</v>
      </c>
      <c r="E4" s="112">
        <v>1</v>
      </c>
      <c r="F4" s="112">
        <v>1</v>
      </c>
      <c r="G4" s="112">
        <v>1</v>
      </c>
      <c r="H4" s="112">
        <v>1</v>
      </c>
      <c r="I4" s="112">
        <v>1</v>
      </c>
      <c r="J4" s="112">
        <v>1</v>
      </c>
      <c r="K4" s="112">
        <v>1</v>
      </c>
      <c r="L4" s="112">
        <v>1</v>
      </c>
      <c r="M4" s="112">
        <v>1</v>
      </c>
      <c r="N4" s="113">
        <v>1</v>
      </c>
      <c r="P4" s="55" t="s">
        <v>7</v>
      </c>
      <c r="Q4" s="56">
        <v>0.68120000000000003</v>
      </c>
      <c r="R4" s="57">
        <v>0.85309999999999997</v>
      </c>
      <c r="S4" s="58">
        <v>0.6542</v>
      </c>
      <c r="T4" s="59">
        <v>0.64880000000000004</v>
      </c>
      <c r="U4" s="59">
        <v>0.62870000000000004</v>
      </c>
      <c r="V4" s="59">
        <v>0.61660000000000004</v>
      </c>
      <c r="W4" s="59">
        <v>0.58579999999999999</v>
      </c>
      <c r="X4" s="59">
        <v>0.58409999999999995</v>
      </c>
      <c r="Y4" s="59">
        <v>0.55740000000000001</v>
      </c>
      <c r="Z4" s="59">
        <v>0.56220000000000003</v>
      </c>
      <c r="AA4" s="59">
        <v>0.54530000000000001</v>
      </c>
      <c r="AB4" s="59">
        <v>0.53710000000000002</v>
      </c>
      <c r="AC4" s="60">
        <v>0.53369999999999995</v>
      </c>
      <c r="AE4" s="55" t="s">
        <v>7</v>
      </c>
      <c r="AF4" s="56">
        <v>0.46939999999999998</v>
      </c>
      <c r="AG4" s="57">
        <v>0.73440000000000005</v>
      </c>
      <c r="AH4" s="58">
        <v>0.44779999999999998</v>
      </c>
      <c r="AI4" s="59">
        <v>0.45100000000000001</v>
      </c>
      <c r="AJ4" s="59">
        <v>0.4415</v>
      </c>
      <c r="AK4" s="59">
        <v>0.41160000000000002</v>
      </c>
      <c r="AL4" s="59">
        <v>0.38090000000000002</v>
      </c>
      <c r="AM4" s="59">
        <v>0.37080000000000002</v>
      </c>
      <c r="AN4" s="59">
        <v>0.34720000000000001</v>
      </c>
      <c r="AO4" s="59">
        <v>0.33960000000000001</v>
      </c>
      <c r="AP4" s="59">
        <v>0.33589999999999998</v>
      </c>
      <c r="AQ4" s="59">
        <v>0.32840000000000003</v>
      </c>
      <c r="AR4" s="60">
        <v>0.31740000000000002</v>
      </c>
      <c r="AT4" s="53">
        <v>1</v>
      </c>
      <c r="AU4" s="54">
        <v>2</v>
      </c>
      <c r="AV4" s="54" t="str" cm="1">
        <f t="array" ref="AV4">SUBSTITUTE(INDEX($A$3:$A$15,AT4),"10","T")</f>
        <v>A</v>
      </c>
      <c r="AW4" s="54" t="str" cm="1">
        <f t="array" ref="AW4">SUBSTITUTE(INDEX($B$2:$N$2,AU4),"10","T")</f>
        <v>K</v>
      </c>
      <c r="AX4" s="92" t="str">
        <f>IF(AT4=AU4,AV4&amp;AW4,IF(AU4 &gt; AT4, AV4 &amp; AW4 &amp; "s",AW4 &amp; AV4 &amp; "o"))</f>
        <v>AKs</v>
      </c>
      <c r="AY4" s="67" cm="1">
        <f t="array" ref="AY4">INDEX(starting2players,AT4,AU4)</f>
        <v>0.6915</v>
      </c>
      <c r="AZ4" s="68" cm="1">
        <f t="array" ref="AZ4">INDEX(starting3players,AT4,AU4)</f>
        <v>0.49109999999999998</v>
      </c>
      <c r="BA4" s="68" cm="1">
        <f t="array" ref="BA4">INDEX(starting4players,AT4,AU4)</f>
        <v>0.38869999999999999</v>
      </c>
      <c r="BB4" s="68" cm="1">
        <f t="array" ref="BB4">INDEX(starting5players,AT4,AU4)</f>
        <v>0.34160000000000001</v>
      </c>
      <c r="BC4" s="68" cm="1">
        <f t="array" ref="BC4">INDEX(starting6players,AT4,AU4)</f>
        <v>0.29820000000000002</v>
      </c>
      <c r="BD4" s="68" cm="1">
        <f t="array" ref="BD4">INDEX(starting7players,AT4,AU4)</f>
        <v>0.22700000000000001</v>
      </c>
      <c r="BE4" s="68" cm="1">
        <f t="array" ref="BE4">INDEX(starting8players,AT4,AU4)</f>
        <v>0.23649999999999999</v>
      </c>
      <c r="BF4" s="69" cm="1">
        <f t="array" ref="BF4">INDEX(starting9players,AT4,AU4)</f>
        <v>0.21879999999999999</v>
      </c>
    </row>
    <row r="5" spans="1:58" ht="13.5" thickTop="1" thickBot="1">
      <c r="A5" s="55" t="s">
        <v>6</v>
      </c>
      <c r="B5" s="109">
        <v>1</v>
      </c>
      <c r="C5" s="112">
        <v>1</v>
      </c>
      <c r="D5" s="110">
        <v>1</v>
      </c>
      <c r="E5" s="111">
        <v>1</v>
      </c>
      <c r="F5" s="112">
        <v>1</v>
      </c>
      <c r="G5" s="112">
        <v>1</v>
      </c>
      <c r="H5" s="112">
        <v>1</v>
      </c>
      <c r="I5" s="112">
        <v>1</v>
      </c>
      <c r="J5" s="112">
        <v>1</v>
      </c>
      <c r="K5" s="112">
        <v>1</v>
      </c>
      <c r="L5" s="112">
        <v>1</v>
      </c>
      <c r="M5" s="112">
        <v>1</v>
      </c>
      <c r="N5" s="113">
        <v>1</v>
      </c>
      <c r="P5" s="55" t="s">
        <v>6</v>
      </c>
      <c r="Q5" s="56">
        <v>0.67079999999999995</v>
      </c>
      <c r="R5" s="59">
        <v>0.63660000000000005</v>
      </c>
      <c r="S5" s="57">
        <v>0.83440000000000003</v>
      </c>
      <c r="T5" s="58">
        <v>0.6169</v>
      </c>
      <c r="U5" s="59">
        <v>0.60419999999999996</v>
      </c>
      <c r="V5" s="59">
        <v>0.59140000000000004</v>
      </c>
      <c r="W5" s="59">
        <v>0.56440000000000001</v>
      </c>
      <c r="X5" s="59">
        <v>0.54149999999999998</v>
      </c>
      <c r="Y5" s="59">
        <v>0.53490000000000004</v>
      </c>
      <c r="Z5" s="59">
        <v>0.52480000000000004</v>
      </c>
      <c r="AA5" s="59">
        <v>0.51019999999999999</v>
      </c>
      <c r="AB5" s="59">
        <v>0.50749999999999995</v>
      </c>
      <c r="AC5" s="60">
        <v>0.50290000000000001</v>
      </c>
      <c r="AE5" s="55" t="s">
        <v>6</v>
      </c>
      <c r="AF5" s="56">
        <v>0.45019999999999999</v>
      </c>
      <c r="AG5" s="59">
        <v>0.4284</v>
      </c>
      <c r="AH5" s="57">
        <v>0.69189999999999996</v>
      </c>
      <c r="AI5" s="58">
        <v>0.42259999999999998</v>
      </c>
      <c r="AJ5" s="59">
        <v>0.41959999999999997</v>
      </c>
      <c r="AK5" s="59">
        <v>0.38979999999999998</v>
      </c>
      <c r="AL5" s="59">
        <v>0.36130000000000001</v>
      </c>
      <c r="AM5" s="59">
        <v>0.34379999999999999</v>
      </c>
      <c r="AN5" s="59">
        <v>0.33300000000000002</v>
      </c>
      <c r="AO5" s="59">
        <v>0.32290000000000002</v>
      </c>
      <c r="AP5" s="59">
        <v>0.30620000000000003</v>
      </c>
      <c r="AQ5" s="59">
        <v>0.3115</v>
      </c>
      <c r="AR5" s="60">
        <v>0.2979</v>
      </c>
      <c r="AT5" s="70">
        <v>1</v>
      </c>
      <c r="AU5" s="71">
        <v>3</v>
      </c>
      <c r="AV5" s="71" t="str" cm="1">
        <f t="array" ref="AV5">SUBSTITUTE(INDEX($A$3:$A$15,AT5),"10","T")</f>
        <v>A</v>
      </c>
      <c r="AW5" s="71" t="str" cm="1">
        <f t="array" ref="AW5">SUBSTITUTE(INDEX($B$2:$N$2,AU5),"10","T")</f>
        <v>Q</v>
      </c>
      <c r="AX5" s="91" t="str">
        <f t="shared" ref="AX5:AX68" si="1">IF(AT5=AU5,AV5&amp;AW5,IF(AU5 &gt; AT5, AV5 &amp; AW5 &amp; "s",AW5 &amp; AV5 &amp; "o"))</f>
        <v>AQs</v>
      </c>
      <c r="AY5" s="72" cm="1">
        <f t="array" ref="AY5">INDEX(starting2players,AT5,AU5)</f>
        <v>0.68910000000000005</v>
      </c>
      <c r="AZ5" s="73" cm="1">
        <f t="array" ref="AZ5">INDEX(starting3players,AT5,AU5)</f>
        <v>0.47920000000000001</v>
      </c>
      <c r="BA5" s="73" cm="1">
        <f t="array" ref="BA5">INDEX(starting4players,AT5,AU5)</f>
        <v>0.37509999999999999</v>
      </c>
      <c r="BB5" s="73" cm="1">
        <f t="array" ref="BB5">INDEX(starting5players,AT5,AU5)</f>
        <v>0.31900000000000001</v>
      </c>
      <c r="BC5" s="73" cm="1">
        <f t="array" ref="BC5">INDEX(starting6players,AT5,AU5)</f>
        <v>0.26919999999999999</v>
      </c>
      <c r="BD5" s="73" cm="1">
        <f t="array" ref="BD5">INDEX(starting7players,AT5,AU5)</f>
        <v>0.21160000000000001</v>
      </c>
      <c r="BE5" s="73" cm="1">
        <f t="array" ref="BE5">INDEX(starting8players,AT5,AU5)</f>
        <v>0.21590000000000001</v>
      </c>
      <c r="BF5" s="74" cm="1">
        <f t="array" ref="BF5">INDEX(starting9players,AT5,AU5)</f>
        <v>0.20180000000000001</v>
      </c>
    </row>
    <row r="6" spans="1:58" ht="13.5" thickTop="1" thickBot="1">
      <c r="A6" s="55" t="s">
        <v>5</v>
      </c>
      <c r="B6" s="109">
        <v>1</v>
      </c>
      <c r="C6" s="112">
        <v>1</v>
      </c>
      <c r="D6" s="112">
        <v>1</v>
      </c>
      <c r="E6" s="110">
        <v>1</v>
      </c>
      <c r="F6" s="111">
        <v>1</v>
      </c>
      <c r="G6" s="112">
        <v>1</v>
      </c>
      <c r="H6" s="112">
        <v>1</v>
      </c>
      <c r="I6" s="112">
        <v>1</v>
      </c>
      <c r="J6" s="112">
        <v>1</v>
      </c>
      <c r="K6" s="112">
        <v>1</v>
      </c>
      <c r="L6" s="112">
        <v>1</v>
      </c>
      <c r="M6" s="112">
        <v>1</v>
      </c>
      <c r="N6" s="113">
        <v>1</v>
      </c>
      <c r="P6" s="55" t="s">
        <v>5</v>
      </c>
      <c r="Q6" s="56">
        <v>0.65590000000000004</v>
      </c>
      <c r="R6" s="59">
        <v>0.62360000000000004</v>
      </c>
      <c r="S6" s="59">
        <v>0.59550000000000003</v>
      </c>
      <c r="T6" s="57">
        <v>0.81279999999999997</v>
      </c>
      <c r="U6" s="58">
        <v>0.59219999999999995</v>
      </c>
      <c r="V6" s="59">
        <v>0.57130000000000003</v>
      </c>
      <c r="W6" s="59">
        <v>0.54220000000000002</v>
      </c>
      <c r="X6" s="59">
        <v>0.5181</v>
      </c>
      <c r="Y6" s="59">
        <v>0.50160000000000005</v>
      </c>
      <c r="Z6" s="59">
        <v>0.49330000000000002</v>
      </c>
      <c r="AA6" s="59">
        <v>0.48039999999999999</v>
      </c>
      <c r="AB6" s="59">
        <v>0.4834</v>
      </c>
      <c r="AC6" s="60">
        <v>0.47599999999999998</v>
      </c>
      <c r="AE6" s="55" t="s">
        <v>5</v>
      </c>
      <c r="AF6" s="56">
        <v>0.43340000000000001</v>
      </c>
      <c r="AG6" s="59">
        <v>0.42480000000000001</v>
      </c>
      <c r="AH6" s="59">
        <v>0.39579999999999999</v>
      </c>
      <c r="AI6" s="57">
        <v>0.65239999999999998</v>
      </c>
      <c r="AJ6" s="58">
        <v>0.40310000000000001</v>
      </c>
      <c r="AK6" s="59">
        <v>0.3846</v>
      </c>
      <c r="AL6" s="59">
        <v>0.3473</v>
      </c>
      <c r="AM6" s="59">
        <v>0.32579999999999998</v>
      </c>
      <c r="AN6" s="59">
        <v>0.30620000000000003</v>
      </c>
      <c r="AO6" s="59">
        <v>0.30199999999999999</v>
      </c>
      <c r="AP6" s="59">
        <v>0.2873</v>
      </c>
      <c r="AQ6" s="59">
        <v>0.28149999999999997</v>
      </c>
      <c r="AR6" s="60">
        <v>0.27650000000000002</v>
      </c>
      <c r="AT6" s="53">
        <v>1</v>
      </c>
      <c r="AU6" s="54">
        <v>4</v>
      </c>
      <c r="AV6" s="54" t="str" cm="1">
        <f t="array" ref="AV6">SUBSTITUTE(INDEX($A$3:$A$15,AT6),"10","T")</f>
        <v>A</v>
      </c>
      <c r="AW6" s="54" t="str" cm="1">
        <f t="array" ref="AW6">SUBSTITUTE(INDEX($B$2:$N$2,AU6),"10","T")</f>
        <v>J</v>
      </c>
      <c r="AX6" s="92" t="str">
        <f t="shared" si="1"/>
        <v>AJs</v>
      </c>
      <c r="AY6" s="67" cm="1">
        <f t="array" ref="AY6">INDEX(starting2players,AT6,AU6)</f>
        <v>0.67020000000000002</v>
      </c>
      <c r="AZ6" s="68" cm="1">
        <f t="array" ref="AZ6">INDEX(starting3players,AT6,AU6)</f>
        <v>0.45079999999999998</v>
      </c>
      <c r="BA6" s="68" cm="1">
        <f t="array" ref="BA6">INDEX(starting4players,AT6,AU6)</f>
        <v>0.3695</v>
      </c>
      <c r="BB6" s="68" cm="1">
        <f t="array" ref="BB6">INDEX(starting5players,AT6,AU6)</f>
        <v>0.30509999999999998</v>
      </c>
      <c r="BC6" s="68" cm="1">
        <f t="array" ref="BC6">INDEX(starting6players,AT6,AU6)</f>
        <v>0.25669999999999998</v>
      </c>
      <c r="BD6" s="68" cm="1">
        <f t="array" ref="BD6">INDEX(starting7players,AT6,AU6)</f>
        <v>0.20519999999999999</v>
      </c>
      <c r="BE6" s="68" cm="1">
        <f t="array" ref="BE6">INDEX(starting8players,AT6,AU6)</f>
        <v>0.19309999999999999</v>
      </c>
      <c r="BF6" s="69" cm="1">
        <f t="array" ref="BF6">INDEX(starting9players,AT6,AU6)</f>
        <v>0.18709999999999999</v>
      </c>
    </row>
    <row r="7" spans="1:58" ht="13.5" thickTop="1" thickBot="1">
      <c r="A7" s="55">
        <v>10</v>
      </c>
      <c r="B7" s="109">
        <v>1</v>
      </c>
      <c r="C7" s="112">
        <v>1</v>
      </c>
      <c r="D7" s="112">
        <v>1</v>
      </c>
      <c r="E7" s="112">
        <v>1</v>
      </c>
      <c r="F7" s="110">
        <v>1</v>
      </c>
      <c r="G7" s="111">
        <v>1</v>
      </c>
      <c r="H7" s="112">
        <v>1</v>
      </c>
      <c r="I7" s="112">
        <v>1</v>
      </c>
      <c r="J7" s="112">
        <v>1</v>
      </c>
      <c r="K7" s="112">
        <v>1</v>
      </c>
      <c r="L7" s="112">
        <v>1</v>
      </c>
      <c r="M7" s="112">
        <v>1</v>
      </c>
      <c r="N7" s="113">
        <v>1</v>
      </c>
      <c r="P7" s="55">
        <v>10</v>
      </c>
      <c r="Q7" s="56">
        <v>0.64849999999999997</v>
      </c>
      <c r="R7" s="59">
        <v>0.6179</v>
      </c>
      <c r="S7" s="59">
        <v>0.58509999999999995</v>
      </c>
      <c r="T7" s="59">
        <v>0.56710000000000005</v>
      </c>
      <c r="U7" s="57">
        <v>0.79559999999999997</v>
      </c>
      <c r="V7" s="58">
        <v>0.55830000000000002</v>
      </c>
      <c r="W7" s="59">
        <v>0.52649999999999997</v>
      </c>
      <c r="X7" s="59">
        <v>0.50449999999999995</v>
      </c>
      <c r="Y7" s="59">
        <v>0.48359999999999997</v>
      </c>
      <c r="Z7" s="59">
        <v>0.45989999999999998</v>
      </c>
      <c r="AA7" s="59">
        <v>0.46129999999999999</v>
      </c>
      <c r="AB7" s="59">
        <v>0.44350000000000001</v>
      </c>
      <c r="AC7" s="60">
        <v>0.439</v>
      </c>
      <c r="AE7" s="55">
        <v>10</v>
      </c>
      <c r="AF7" s="56">
        <v>0.43440000000000001</v>
      </c>
      <c r="AG7" s="59">
        <v>0.41520000000000001</v>
      </c>
      <c r="AH7" s="59">
        <v>0.38569999999999999</v>
      </c>
      <c r="AI7" s="59">
        <v>0.3785</v>
      </c>
      <c r="AJ7" s="57">
        <v>0.62350000000000005</v>
      </c>
      <c r="AK7" s="58">
        <v>0.36919999999999997</v>
      </c>
      <c r="AL7" s="59">
        <v>0.35630000000000001</v>
      </c>
      <c r="AM7" s="59">
        <v>0.3387</v>
      </c>
      <c r="AN7" s="59">
        <v>0.29920000000000002</v>
      </c>
      <c r="AO7" s="59">
        <v>0.2858</v>
      </c>
      <c r="AP7" s="59">
        <v>0.27710000000000001</v>
      </c>
      <c r="AQ7" s="59">
        <v>0.2722</v>
      </c>
      <c r="AR7" s="60">
        <v>0.27160000000000001</v>
      </c>
      <c r="AT7" s="70">
        <v>1</v>
      </c>
      <c r="AU7" s="71">
        <v>5</v>
      </c>
      <c r="AV7" s="71" t="str" cm="1">
        <f t="array" ref="AV7">SUBSTITUTE(INDEX($A$3:$A$15,AT7),"10","T")</f>
        <v>A</v>
      </c>
      <c r="AW7" s="71" t="str" cm="1">
        <f t="array" ref="AW7">SUBSTITUTE(INDEX($B$2:$N$2,AU7),"10","T")</f>
        <v>T</v>
      </c>
      <c r="AX7" s="91" t="str">
        <f t="shared" si="1"/>
        <v>ATs</v>
      </c>
      <c r="AY7" s="72" cm="1">
        <f t="array" ref="AY7">INDEX(starting2players,AT7,AU7)</f>
        <v>0.67430000000000001</v>
      </c>
      <c r="AZ7" s="73" cm="1">
        <f t="array" ref="AZ7">INDEX(starting3players,AT7,AU7)</f>
        <v>0.45750000000000002</v>
      </c>
      <c r="BA7" s="73" cm="1">
        <f t="array" ref="BA7">INDEX(starting4players,AT7,AU7)</f>
        <v>0.35439999999999999</v>
      </c>
      <c r="BB7" s="73" cm="1">
        <f t="array" ref="BB7">INDEX(starting5players,AT7,AU7)</f>
        <v>0.30209999999999998</v>
      </c>
      <c r="BC7" s="73" cm="1">
        <f t="array" ref="BC7">INDEX(starting6players,AT7,AU7)</f>
        <v>0.26179999999999998</v>
      </c>
      <c r="BD7" s="73" cm="1">
        <f t="array" ref="BD7">INDEX(starting7players,AT7,AU7)</f>
        <v>0.1928</v>
      </c>
      <c r="BE7" s="73" cm="1">
        <f t="array" ref="BE7">INDEX(starting8players,AT7,AU7)</f>
        <v>0.18920000000000001</v>
      </c>
      <c r="BF7" s="74" cm="1">
        <f t="array" ref="BF7">INDEX(starting9players,AT7,AU7)</f>
        <v>0.1769</v>
      </c>
    </row>
    <row r="8" spans="1:58" ht="13.5" thickTop="1" thickBot="1">
      <c r="A8" s="55">
        <v>9</v>
      </c>
      <c r="B8" s="109">
        <v>1</v>
      </c>
      <c r="C8" s="112">
        <v>1</v>
      </c>
      <c r="D8" s="112">
        <v>1</v>
      </c>
      <c r="E8" s="112">
        <v>1</v>
      </c>
      <c r="F8" s="112">
        <v>1</v>
      </c>
      <c r="G8" s="110">
        <v>1</v>
      </c>
      <c r="H8" s="111">
        <v>1</v>
      </c>
      <c r="I8" s="112">
        <v>1</v>
      </c>
      <c r="J8" s="112">
        <v>1</v>
      </c>
      <c r="K8" s="112">
        <v>1</v>
      </c>
      <c r="L8" s="112">
        <v>1</v>
      </c>
      <c r="M8" s="112">
        <v>1</v>
      </c>
      <c r="N8" s="113">
        <v>1</v>
      </c>
      <c r="P8" s="55">
        <v>9</v>
      </c>
      <c r="Q8" s="56">
        <v>0.626</v>
      </c>
      <c r="R8" s="59">
        <v>0.60189999999999999</v>
      </c>
      <c r="S8" s="59">
        <v>0.57399999999999995</v>
      </c>
      <c r="T8" s="59">
        <v>0.55300000000000005</v>
      </c>
      <c r="U8" s="59">
        <v>0.53029999999999999</v>
      </c>
      <c r="V8" s="57">
        <v>0.77390000000000003</v>
      </c>
      <c r="W8" s="58">
        <v>0.50939999999999996</v>
      </c>
      <c r="X8" s="59">
        <v>0.4849</v>
      </c>
      <c r="Y8" s="59">
        <v>0.47739999999999999</v>
      </c>
      <c r="Z8" s="59">
        <v>0.4541</v>
      </c>
      <c r="AA8" s="59">
        <v>0.4173</v>
      </c>
      <c r="AB8" s="59">
        <v>0.42330000000000001</v>
      </c>
      <c r="AC8" s="60">
        <v>0.41920000000000002</v>
      </c>
      <c r="AE8" s="55">
        <v>9</v>
      </c>
      <c r="AF8" s="56">
        <v>0.39550000000000002</v>
      </c>
      <c r="AG8" s="59">
        <v>0.37630000000000002</v>
      </c>
      <c r="AH8" s="59">
        <v>0.35620000000000002</v>
      </c>
      <c r="AI8" s="59">
        <v>0.35</v>
      </c>
      <c r="AJ8" s="59">
        <v>0.34560000000000002</v>
      </c>
      <c r="AK8" s="57">
        <v>0.57789999999999997</v>
      </c>
      <c r="AL8" s="58">
        <v>0.34239999999999998</v>
      </c>
      <c r="AM8" s="59">
        <v>0.3231</v>
      </c>
      <c r="AN8" s="59">
        <v>0.30080000000000001</v>
      </c>
      <c r="AO8" s="59">
        <v>0.28010000000000002</v>
      </c>
      <c r="AP8" s="59">
        <v>0.2631</v>
      </c>
      <c r="AQ8" s="59">
        <v>0.25490000000000002</v>
      </c>
      <c r="AR8" s="60">
        <v>0.25130000000000002</v>
      </c>
      <c r="AT8" s="53">
        <v>1</v>
      </c>
      <c r="AU8" s="54">
        <v>6</v>
      </c>
      <c r="AV8" s="54" t="str" cm="1">
        <f t="array" ref="AV8">SUBSTITUTE(INDEX($A$3:$A$15,AT8),"10","T")</f>
        <v>A</v>
      </c>
      <c r="AW8" s="54" t="str" cm="1">
        <f t="array" ref="AW8">SUBSTITUTE(INDEX($B$2:$N$2,AU8),"10","T")</f>
        <v>9</v>
      </c>
      <c r="AX8" s="92" t="str">
        <f t="shared" si="1"/>
        <v>A9s</v>
      </c>
      <c r="AY8" s="67" cm="1">
        <f t="array" ref="AY8">INDEX(starting2players,AT8,AU8)</f>
        <v>0.64500000000000002</v>
      </c>
      <c r="AZ8" s="68" cm="1">
        <f t="array" ref="AZ8">INDEX(starting3players,AT8,AU8)</f>
        <v>0.4168</v>
      </c>
      <c r="BA8" s="68" cm="1">
        <f t="array" ref="BA8">INDEX(starting4players,AT8,AU8)</f>
        <v>0.32690000000000002</v>
      </c>
      <c r="BB8" s="68" cm="1">
        <f t="array" ref="BB8">INDEX(starting5players,AT8,AU8)</f>
        <v>0.2601</v>
      </c>
      <c r="BC8" s="68" cm="1">
        <f t="array" ref="BC8">INDEX(starting6players,AT8,AU8)</f>
        <v>0.22700000000000001</v>
      </c>
      <c r="BD8" s="68" cm="1">
        <f t="array" ref="BD8">INDEX(starting7players,AT8,AU8)</f>
        <v>0.16639999999999999</v>
      </c>
      <c r="BE8" s="68" cm="1">
        <f t="array" ref="BE8">INDEX(starting8players,AT8,AU8)</f>
        <v>0.1638</v>
      </c>
      <c r="BF8" s="69" cm="1">
        <f t="array" ref="BF8">INDEX(starting9players,AT8,AU8)</f>
        <v>0.1517</v>
      </c>
    </row>
    <row r="9" spans="1:58" ht="13.5" thickTop="1" thickBot="1">
      <c r="A9" s="55">
        <v>8</v>
      </c>
      <c r="B9" s="109">
        <v>1</v>
      </c>
      <c r="C9" s="112">
        <v>1</v>
      </c>
      <c r="D9" s="112">
        <v>1</v>
      </c>
      <c r="E9" s="112">
        <v>1</v>
      </c>
      <c r="F9" s="112">
        <v>1</v>
      </c>
      <c r="G9" s="112">
        <v>1</v>
      </c>
      <c r="H9" s="110">
        <v>1</v>
      </c>
      <c r="I9" s="111">
        <v>1</v>
      </c>
      <c r="J9" s="112">
        <v>1</v>
      </c>
      <c r="K9" s="112">
        <v>1</v>
      </c>
      <c r="L9" s="112">
        <v>1</v>
      </c>
      <c r="M9" s="112">
        <v>1</v>
      </c>
      <c r="N9" s="113">
        <v>1</v>
      </c>
      <c r="P9" s="55">
        <v>8</v>
      </c>
      <c r="Q9" s="56">
        <v>0.60699999999999998</v>
      </c>
      <c r="R9" s="59">
        <v>0.56610000000000005</v>
      </c>
      <c r="S9" s="59">
        <v>0.55079999999999996</v>
      </c>
      <c r="T9" s="59">
        <v>0.52370000000000005</v>
      </c>
      <c r="U9" s="59">
        <v>0.5131</v>
      </c>
      <c r="V9" s="59">
        <v>0.49080000000000001</v>
      </c>
      <c r="W9" s="57">
        <v>0.76180000000000003</v>
      </c>
      <c r="X9" s="58">
        <v>0.46839999999999998</v>
      </c>
      <c r="Y9" s="59">
        <v>0.45879999999999999</v>
      </c>
      <c r="Z9" s="59">
        <v>0.43459999999999999</v>
      </c>
      <c r="AA9" s="59">
        <v>0.41299999999999998</v>
      </c>
      <c r="AB9" s="59">
        <v>0.38740000000000002</v>
      </c>
      <c r="AC9" s="60">
        <v>0.39419999999999999</v>
      </c>
      <c r="AE9" s="55">
        <v>8</v>
      </c>
      <c r="AF9" s="56">
        <v>0.378</v>
      </c>
      <c r="AG9" s="59">
        <v>0.35389999999999999</v>
      </c>
      <c r="AH9" s="59">
        <v>0.34060000000000001</v>
      </c>
      <c r="AI9" s="59">
        <v>0.32119999999999999</v>
      </c>
      <c r="AJ9" s="59">
        <v>0.31869999999999998</v>
      </c>
      <c r="AK9" s="59">
        <v>0.30330000000000001</v>
      </c>
      <c r="AL9" s="57">
        <v>0.55369999999999997</v>
      </c>
      <c r="AM9" s="58">
        <v>0.30780000000000002</v>
      </c>
      <c r="AN9" s="59">
        <v>0.2913</v>
      </c>
      <c r="AO9" s="59">
        <v>0.28560000000000002</v>
      </c>
      <c r="AP9" s="59">
        <v>0.25530000000000003</v>
      </c>
      <c r="AQ9" s="59">
        <v>0.2409</v>
      </c>
      <c r="AR9" s="60">
        <v>0.2384</v>
      </c>
      <c r="AT9" s="70">
        <v>1</v>
      </c>
      <c r="AU9" s="71">
        <v>7</v>
      </c>
      <c r="AV9" s="71" t="str" cm="1">
        <f t="array" ref="AV9">SUBSTITUTE(INDEX($A$3:$A$15,AT9),"10","T")</f>
        <v>A</v>
      </c>
      <c r="AW9" s="71" t="str" cm="1">
        <f t="array" ref="AW9">SUBSTITUTE(INDEX($B$2:$N$2,AU9),"10","T")</f>
        <v>8</v>
      </c>
      <c r="AX9" s="91" t="str">
        <f t="shared" si="1"/>
        <v>A8s</v>
      </c>
      <c r="AY9" s="72" cm="1">
        <f t="array" ref="AY9">INDEX(starting2players,AT9,AU9)</f>
        <v>0.63660000000000005</v>
      </c>
      <c r="AZ9" s="73" cm="1">
        <f t="array" ref="AZ9">INDEX(starting3players,AT9,AU9)</f>
        <v>0.40289999999999998</v>
      </c>
      <c r="BA9" s="73" cm="1">
        <f t="array" ref="BA9">INDEX(starting4players,AT9,AU9)</f>
        <v>0.30180000000000001</v>
      </c>
      <c r="BB9" s="73" cm="1">
        <f t="array" ref="BB9">INDEX(starting5players,AT9,AU9)</f>
        <v>0.2465</v>
      </c>
      <c r="BC9" s="73" cm="1">
        <f t="array" ref="BC9">INDEX(starting6players,AT9,AU9)</f>
        <v>0.21490000000000001</v>
      </c>
      <c r="BD9" s="73" cm="1">
        <f t="array" ref="BD9">INDEX(starting7players,AT9,AU9)</f>
        <v>0.15390000000000001</v>
      </c>
      <c r="BE9" s="73" cm="1">
        <f t="array" ref="BE9">INDEX(starting8players,AT9,AU9)</f>
        <v>0.15770000000000001</v>
      </c>
      <c r="BF9" s="74" cm="1">
        <f t="array" ref="BF9">INDEX(starting9players,AT9,AU9)</f>
        <v>0.14410000000000001</v>
      </c>
    </row>
    <row r="10" spans="1:58" ht="13.5" thickTop="1" thickBot="1">
      <c r="A10" s="55">
        <v>7</v>
      </c>
      <c r="B10" s="109">
        <v>1</v>
      </c>
      <c r="C10" s="112">
        <v>1</v>
      </c>
      <c r="D10" s="112">
        <v>1</v>
      </c>
      <c r="E10" s="112">
        <v>1</v>
      </c>
      <c r="F10" s="112">
        <v>1</v>
      </c>
      <c r="G10" s="112">
        <v>1</v>
      </c>
      <c r="H10" s="112">
        <v>1</v>
      </c>
      <c r="I10" s="110">
        <v>1</v>
      </c>
      <c r="J10" s="111">
        <v>1</v>
      </c>
      <c r="K10" s="112">
        <v>1</v>
      </c>
      <c r="L10" s="112">
        <v>1</v>
      </c>
      <c r="M10" s="112">
        <v>1</v>
      </c>
      <c r="N10" s="113">
        <v>1</v>
      </c>
      <c r="P10" s="55">
        <v>7</v>
      </c>
      <c r="Q10" s="56">
        <v>0.59499999999999997</v>
      </c>
      <c r="R10" s="59">
        <v>0.5534</v>
      </c>
      <c r="S10" s="59">
        <v>0.5242</v>
      </c>
      <c r="T10" s="59">
        <v>0.49619999999999997</v>
      </c>
      <c r="U10" s="59">
        <v>0.48359999999999997</v>
      </c>
      <c r="V10" s="59">
        <v>0.4602</v>
      </c>
      <c r="W10" s="59">
        <v>0.43890000000000001</v>
      </c>
      <c r="X10" s="57">
        <v>0.72699999999999998</v>
      </c>
      <c r="Y10" s="58">
        <v>0.433</v>
      </c>
      <c r="Z10" s="59">
        <v>0.42680000000000001</v>
      </c>
      <c r="AA10" s="59">
        <v>0.40310000000000001</v>
      </c>
      <c r="AB10" s="59">
        <v>0.38369999999999999</v>
      </c>
      <c r="AC10" s="60">
        <v>0.36349999999999999</v>
      </c>
      <c r="AE10" s="55">
        <v>7</v>
      </c>
      <c r="AF10" s="56">
        <v>0.35720000000000002</v>
      </c>
      <c r="AG10" s="59">
        <v>0.34129999999999999</v>
      </c>
      <c r="AH10" s="59">
        <v>0.31080000000000002</v>
      </c>
      <c r="AI10" s="59">
        <v>0.30349999999999999</v>
      </c>
      <c r="AJ10" s="59">
        <v>0.29099999999999998</v>
      </c>
      <c r="AK10" s="59">
        <v>0.28670000000000001</v>
      </c>
      <c r="AL10" s="59">
        <v>0.28949999999999998</v>
      </c>
      <c r="AM10" s="57">
        <v>0.52739999999999998</v>
      </c>
      <c r="AN10" s="58">
        <v>0.29010000000000002</v>
      </c>
      <c r="AO10" s="59">
        <v>0.27379999999999999</v>
      </c>
      <c r="AP10" s="59">
        <v>0.25280000000000002</v>
      </c>
      <c r="AQ10" s="59">
        <v>0.22989999999999999</v>
      </c>
      <c r="AR10" s="60">
        <v>0.222</v>
      </c>
      <c r="AT10" s="53">
        <v>1</v>
      </c>
      <c r="AU10" s="54">
        <v>8</v>
      </c>
      <c r="AV10" s="54" t="str" cm="1">
        <f t="array" ref="AV10">SUBSTITUTE(INDEX($A$3:$A$15,AT10),"10","T")</f>
        <v>A</v>
      </c>
      <c r="AW10" s="54" t="str" cm="1">
        <f t="array" ref="AW10">SUBSTITUTE(INDEX($B$2:$N$2,AU10),"10","T")</f>
        <v>7</v>
      </c>
      <c r="AX10" s="92" t="str">
        <f t="shared" si="1"/>
        <v>A7s</v>
      </c>
      <c r="AY10" s="67" cm="1">
        <f t="array" ref="AY10">INDEX(starting2players,AT10,AU10)</f>
        <v>0.61429999999999996</v>
      </c>
      <c r="AZ10" s="68" cm="1">
        <f t="array" ref="AZ10">INDEX(starting3players,AT10,AU10)</f>
        <v>0.39350000000000002</v>
      </c>
      <c r="BA10" s="68" cm="1">
        <f t="array" ref="BA10">INDEX(starting4players,AT10,AU10)</f>
        <v>0.29820000000000002</v>
      </c>
      <c r="BB10" s="68" cm="1">
        <f t="array" ref="BB10">INDEX(starting5players,AT10,AU10)</f>
        <v>0.2457</v>
      </c>
      <c r="BC10" s="68" cm="1">
        <f t="array" ref="BC10">INDEX(starting6players,AT10,AU10)</f>
        <v>0.19470000000000001</v>
      </c>
      <c r="BD10" s="68" cm="1">
        <f t="array" ref="BD10">INDEX(starting7players,AT10,AU10)</f>
        <v>0.15110000000000001</v>
      </c>
      <c r="BE10" s="68" cm="1">
        <f t="array" ref="BE10">INDEX(starting8players,AT10,AU10)</f>
        <v>0.15079999999999999</v>
      </c>
      <c r="BF10" s="69" cm="1">
        <f t="array" ref="BF10">INDEX(starting9players,AT10,AU10)</f>
        <v>0.1386</v>
      </c>
    </row>
    <row r="11" spans="1:58" ht="13.5" thickTop="1" thickBot="1">
      <c r="A11" s="55">
        <v>6</v>
      </c>
      <c r="B11" s="109">
        <v>1</v>
      </c>
      <c r="C11" s="112">
        <v>1</v>
      </c>
      <c r="D11" s="112">
        <v>1</v>
      </c>
      <c r="E11" s="112">
        <v>1</v>
      </c>
      <c r="F11" s="112">
        <v>1</v>
      </c>
      <c r="G11" s="112">
        <v>1</v>
      </c>
      <c r="H11" s="112">
        <v>1</v>
      </c>
      <c r="I11" s="112">
        <v>1</v>
      </c>
      <c r="J11" s="110">
        <v>1</v>
      </c>
      <c r="K11" s="111">
        <v>1</v>
      </c>
      <c r="L11" s="112">
        <v>1</v>
      </c>
      <c r="M11" s="112">
        <v>1</v>
      </c>
      <c r="N11" s="113">
        <v>1</v>
      </c>
      <c r="P11" s="55">
        <v>6</v>
      </c>
      <c r="Q11" s="56">
        <v>0.57869999999999999</v>
      </c>
      <c r="R11" s="59">
        <v>0.53949999999999998</v>
      </c>
      <c r="S11" s="59">
        <v>0.50290000000000001</v>
      </c>
      <c r="T11" s="59">
        <v>0.4718</v>
      </c>
      <c r="U11" s="59">
        <v>0.45879999999999999</v>
      </c>
      <c r="V11" s="59">
        <v>0.44519999999999998</v>
      </c>
      <c r="W11" s="59">
        <v>0.41839999999999999</v>
      </c>
      <c r="X11" s="59">
        <v>0.42609999999999998</v>
      </c>
      <c r="Y11" s="57">
        <v>0.6996</v>
      </c>
      <c r="Z11" s="58">
        <v>0.4032</v>
      </c>
      <c r="AA11" s="59">
        <v>0.39550000000000002</v>
      </c>
      <c r="AB11" s="59">
        <v>0.38900000000000001</v>
      </c>
      <c r="AC11" s="60">
        <v>0.3569</v>
      </c>
      <c r="AE11" s="55">
        <v>6</v>
      </c>
      <c r="AF11" s="56">
        <v>0.3347</v>
      </c>
      <c r="AG11" s="59">
        <v>0.31280000000000002</v>
      </c>
      <c r="AH11" s="59">
        <v>0.28770000000000001</v>
      </c>
      <c r="AI11" s="59">
        <v>0.27579999999999999</v>
      </c>
      <c r="AJ11" s="59">
        <v>0.27429999999999999</v>
      </c>
      <c r="AK11" s="59">
        <v>0.26519999999999999</v>
      </c>
      <c r="AL11" s="59">
        <v>0.25719999999999998</v>
      </c>
      <c r="AM11" s="59">
        <v>0.25619999999999998</v>
      </c>
      <c r="AN11" s="57">
        <v>0.49080000000000001</v>
      </c>
      <c r="AO11" s="58">
        <v>0.27129999999999999</v>
      </c>
      <c r="AP11" s="59">
        <v>0.26400000000000001</v>
      </c>
      <c r="AQ11" s="59">
        <v>0.2535</v>
      </c>
      <c r="AR11" s="60">
        <v>0.23330000000000001</v>
      </c>
      <c r="AT11" s="70">
        <v>1</v>
      </c>
      <c r="AU11" s="71">
        <v>9</v>
      </c>
      <c r="AV11" s="71" t="str" cm="1">
        <f t="array" ref="AV11">SUBSTITUTE(INDEX($A$3:$A$15,AT11),"10","T")</f>
        <v>A</v>
      </c>
      <c r="AW11" s="71" t="str" cm="1">
        <f t="array" ref="AW11">SUBSTITUTE(INDEX($B$2:$N$2,AU11),"10","T")</f>
        <v>6</v>
      </c>
      <c r="AX11" s="91" t="str">
        <f t="shared" si="1"/>
        <v>A6s</v>
      </c>
      <c r="AY11" s="72" cm="1">
        <f t="array" ref="AY11">INDEX(starting2players,AT11,AU11)</f>
        <v>0.59330000000000005</v>
      </c>
      <c r="AZ11" s="73" cm="1">
        <f t="array" ref="AZ11">INDEX(starting3players,AT11,AU11)</f>
        <v>0.3669</v>
      </c>
      <c r="BA11" s="73" cm="1">
        <f t="array" ref="BA11">INDEX(starting4players,AT11,AU11)</f>
        <v>0.2782</v>
      </c>
      <c r="BB11" s="73" cm="1">
        <f t="array" ref="BB11">INDEX(starting5players,AT11,AU11)</f>
        <v>0.21759999999999999</v>
      </c>
      <c r="BC11" s="73" cm="1">
        <f t="array" ref="BC11">INDEX(starting6players,AT11,AU11)</f>
        <v>0.19089999999999999</v>
      </c>
      <c r="BD11" s="73" cm="1">
        <f t="array" ref="BD11">INDEX(starting7players,AT11,AU11)</f>
        <v>0.13950000000000001</v>
      </c>
      <c r="BE11" s="73" cm="1">
        <f t="array" ref="BE11">INDEX(starting8players,AT11,AU11)</f>
        <v>0.1431</v>
      </c>
      <c r="BF11" s="74" cm="1">
        <f t="array" ref="BF11">INDEX(starting9players,AT11,AU11)</f>
        <v>0.12970000000000001</v>
      </c>
    </row>
    <row r="12" spans="1:58" ht="13.5" thickTop="1" thickBot="1">
      <c r="A12" s="55">
        <v>5</v>
      </c>
      <c r="B12" s="109">
        <v>1</v>
      </c>
      <c r="C12" s="112">
        <v>1</v>
      </c>
      <c r="D12" s="112">
        <v>1</v>
      </c>
      <c r="E12" s="112">
        <v>1</v>
      </c>
      <c r="F12" s="112">
        <v>1</v>
      </c>
      <c r="G12" s="112">
        <v>1</v>
      </c>
      <c r="H12" s="112">
        <v>1</v>
      </c>
      <c r="I12" s="112">
        <v>1</v>
      </c>
      <c r="J12" s="112">
        <v>1</v>
      </c>
      <c r="K12" s="110">
        <v>1</v>
      </c>
      <c r="L12" s="111">
        <v>1</v>
      </c>
      <c r="M12" s="112">
        <v>1</v>
      </c>
      <c r="N12" s="113">
        <v>1</v>
      </c>
      <c r="P12" s="55">
        <v>5</v>
      </c>
      <c r="Q12" s="56">
        <v>0.57469999999999999</v>
      </c>
      <c r="R12" s="59">
        <v>0.53269999999999995</v>
      </c>
      <c r="S12" s="59">
        <v>0.48680000000000001</v>
      </c>
      <c r="T12" s="59">
        <v>0.47</v>
      </c>
      <c r="U12" s="59">
        <v>0.43309999999999998</v>
      </c>
      <c r="V12" s="59">
        <v>0.41789999999999999</v>
      </c>
      <c r="W12" s="59">
        <v>0.4123</v>
      </c>
      <c r="X12" s="59">
        <v>0.39489999999999997</v>
      </c>
      <c r="Y12" s="59">
        <v>0.38379999999999997</v>
      </c>
      <c r="Z12" s="57">
        <v>0.67869999999999997</v>
      </c>
      <c r="AA12" s="58">
        <v>0.39910000000000001</v>
      </c>
      <c r="AB12" s="59">
        <v>0.38390000000000002</v>
      </c>
      <c r="AC12" s="60">
        <v>0.36130000000000001</v>
      </c>
      <c r="AE12" s="55">
        <v>5</v>
      </c>
      <c r="AF12" s="56">
        <v>0.3553</v>
      </c>
      <c r="AG12" s="59">
        <v>0.31309999999999999</v>
      </c>
      <c r="AH12" s="59">
        <v>0.28420000000000001</v>
      </c>
      <c r="AI12" s="59">
        <v>0.2596</v>
      </c>
      <c r="AJ12" s="59">
        <v>0.2374</v>
      </c>
      <c r="AK12" s="59">
        <v>0.24099999999999999</v>
      </c>
      <c r="AL12" s="59">
        <v>0.23799999999999999</v>
      </c>
      <c r="AM12" s="59">
        <v>0.24809999999999999</v>
      </c>
      <c r="AN12" s="59">
        <v>0.2437</v>
      </c>
      <c r="AO12" s="57">
        <v>0.4662</v>
      </c>
      <c r="AP12" s="58">
        <v>0.25800000000000001</v>
      </c>
      <c r="AQ12" s="59">
        <v>0.24660000000000001</v>
      </c>
      <c r="AR12" s="60">
        <v>0.22539999999999999</v>
      </c>
      <c r="AT12" s="53">
        <v>1</v>
      </c>
      <c r="AU12" s="54">
        <v>10</v>
      </c>
      <c r="AV12" s="54" t="str" cm="1">
        <f t="array" ref="AV12">SUBSTITUTE(INDEX($A$3:$A$15,AT12),"10","T")</f>
        <v>A</v>
      </c>
      <c r="AW12" s="54" t="str" cm="1">
        <f t="array" ref="AW12">SUBSTITUTE(INDEX($B$2:$N$2,AU12),"10","T")</f>
        <v>5</v>
      </c>
      <c r="AX12" s="92" t="str">
        <f t="shared" si="1"/>
        <v>A5s</v>
      </c>
      <c r="AY12" s="67" cm="1">
        <f t="array" ref="AY12">INDEX(starting2players,AT12,AU12)</f>
        <v>0.60970000000000002</v>
      </c>
      <c r="AZ12" s="68" cm="1">
        <f t="array" ref="AZ12">INDEX(starting3players,AT12,AU12)</f>
        <v>0.3735</v>
      </c>
      <c r="BA12" s="68" cm="1">
        <f t="array" ref="BA12">INDEX(starting4players,AT12,AU12)</f>
        <v>0.29110000000000003</v>
      </c>
      <c r="BB12" s="68" cm="1">
        <f t="array" ref="BB12">INDEX(starting5players,AT12,AU12)</f>
        <v>0.2326</v>
      </c>
      <c r="BC12" s="68" cm="1">
        <f t="array" ref="BC12">INDEX(starting6players,AT12,AU12)</f>
        <v>0.19769999999999999</v>
      </c>
      <c r="BD12" s="68" cm="1">
        <f t="array" ref="BD12">INDEX(starting7players,AT12,AU12)</f>
        <v>0.15129999999999999</v>
      </c>
      <c r="BE12" s="68" cm="1">
        <f t="array" ref="BE12">INDEX(starting8players,AT12,AU12)</f>
        <v>0.14910000000000001</v>
      </c>
      <c r="BF12" s="69" cm="1">
        <f t="array" ref="BF12">INDEX(starting9players,AT12,AU12)</f>
        <v>0.13370000000000001</v>
      </c>
    </row>
    <row r="13" spans="1:58" ht="13.5" thickTop="1" thickBot="1">
      <c r="A13" s="55">
        <v>4</v>
      </c>
      <c r="B13" s="109">
        <v>1</v>
      </c>
      <c r="C13" s="112">
        <v>1</v>
      </c>
      <c r="D13" s="112">
        <v>1</v>
      </c>
      <c r="E13" s="112">
        <v>1</v>
      </c>
      <c r="F13" s="112">
        <v>1</v>
      </c>
      <c r="G13" s="112">
        <v>1</v>
      </c>
      <c r="H13" s="112">
        <v>1</v>
      </c>
      <c r="I13" s="112">
        <v>1</v>
      </c>
      <c r="J13" s="112">
        <v>1</v>
      </c>
      <c r="K13" s="112">
        <v>1</v>
      </c>
      <c r="L13" s="110">
        <v>1</v>
      </c>
      <c r="M13" s="111">
        <v>1</v>
      </c>
      <c r="N13" s="113">
        <v>1</v>
      </c>
      <c r="P13" s="55">
        <v>4</v>
      </c>
      <c r="Q13" s="56">
        <v>0.56330000000000002</v>
      </c>
      <c r="R13" s="59">
        <v>0.5181</v>
      </c>
      <c r="S13" s="59">
        <v>0.50139999999999996</v>
      </c>
      <c r="T13" s="59">
        <v>0.45479999999999998</v>
      </c>
      <c r="U13" s="59">
        <v>0.42370000000000002</v>
      </c>
      <c r="V13" s="59">
        <v>0.40460000000000002</v>
      </c>
      <c r="W13" s="59">
        <v>0.37580000000000002</v>
      </c>
      <c r="X13" s="59">
        <v>0.36649999999999999</v>
      </c>
      <c r="Y13" s="59">
        <v>0.36320000000000002</v>
      </c>
      <c r="Z13" s="59">
        <v>0.36080000000000001</v>
      </c>
      <c r="AA13" s="57">
        <v>0.65500000000000003</v>
      </c>
      <c r="AB13" s="58">
        <v>0.36380000000000001</v>
      </c>
      <c r="AC13" s="60">
        <v>0.35189999999999999</v>
      </c>
      <c r="AE13" s="55">
        <v>4</v>
      </c>
      <c r="AF13" s="56">
        <v>0.34489999999999998</v>
      </c>
      <c r="AG13" s="59">
        <v>0.29570000000000002</v>
      </c>
      <c r="AH13" s="59">
        <v>0.27700000000000002</v>
      </c>
      <c r="AI13" s="59">
        <v>0.25159999999999999</v>
      </c>
      <c r="AJ13" s="59">
        <v>0.23730000000000001</v>
      </c>
      <c r="AK13" s="59">
        <v>0.21340000000000001</v>
      </c>
      <c r="AL13" s="59">
        <v>0.2112</v>
      </c>
      <c r="AM13" s="59">
        <v>0.21390000000000001</v>
      </c>
      <c r="AN13" s="59">
        <v>0.2157</v>
      </c>
      <c r="AO13" s="59">
        <v>0.2301</v>
      </c>
      <c r="AP13" s="57">
        <v>0.44</v>
      </c>
      <c r="AQ13" s="58">
        <v>0.2253</v>
      </c>
      <c r="AR13" s="60">
        <v>0.21560000000000001</v>
      </c>
      <c r="AT13" s="70">
        <v>1</v>
      </c>
      <c r="AU13" s="71">
        <v>11</v>
      </c>
      <c r="AV13" s="71" t="str" cm="1">
        <f t="array" ref="AV13">SUBSTITUTE(INDEX($A$3:$A$15,AT13),"10","T")</f>
        <v>A</v>
      </c>
      <c r="AW13" s="71" t="str" cm="1">
        <f t="array" ref="AW13">SUBSTITUTE(INDEX($B$2:$N$2,AU13),"10","T")</f>
        <v>4</v>
      </c>
      <c r="AX13" s="91" t="str">
        <f t="shared" si="1"/>
        <v>A4s</v>
      </c>
      <c r="AY13" s="72" cm="1">
        <f t="array" ref="AY13">INDEX(starting2players,AT13,AU13)</f>
        <v>0.59650000000000003</v>
      </c>
      <c r="AZ13" s="73" cm="1">
        <f t="array" ref="AZ13">INDEX(starting3players,AT13,AU13)</f>
        <v>0.37719999999999998</v>
      </c>
      <c r="BA13" s="73" cm="1">
        <f t="array" ref="BA13">INDEX(starting4players,AT13,AU13)</f>
        <v>0.2888</v>
      </c>
      <c r="BB13" s="73" cm="1">
        <f t="array" ref="BB13">INDEX(starting5players,AT13,AU13)</f>
        <v>0.23830000000000001</v>
      </c>
      <c r="BC13" s="73" cm="1">
        <f t="array" ref="BC13">INDEX(starting6players,AT13,AU13)</f>
        <v>0.1915</v>
      </c>
      <c r="BD13" s="73" cm="1">
        <f t="array" ref="BD13">INDEX(starting7players,AT13,AU13)</f>
        <v>0.16489999999999999</v>
      </c>
      <c r="BE13" s="73" cm="1">
        <f t="array" ref="BE13">INDEX(starting8players,AT13,AU13)</f>
        <v>0.14799999999999999</v>
      </c>
      <c r="BF13" s="74" cm="1">
        <f t="array" ref="BF13">INDEX(starting9players,AT13,AU13)</f>
        <v>0.1366</v>
      </c>
    </row>
    <row r="14" spans="1:58" ht="13.5" thickTop="1" thickBot="1">
      <c r="A14" s="55">
        <v>3</v>
      </c>
      <c r="B14" s="109">
        <v>1</v>
      </c>
      <c r="C14" s="112">
        <v>1</v>
      </c>
      <c r="D14" s="112">
        <v>1</v>
      </c>
      <c r="E14" s="112">
        <v>1</v>
      </c>
      <c r="F14" s="112">
        <v>1</v>
      </c>
      <c r="G14" s="112">
        <v>1</v>
      </c>
      <c r="H14" s="112">
        <v>1</v>
      </c>
      <c r="I14" s="112">
        <v>1</v>
      </c>
      <c r="J14" s="112">
        <v>1</v>
      </c>
      <c r="K14" s="112">
        <v>1</v>
      </c>
      <c r="L14" s="112">
        <v>1</v>
      </c>
      <c r="M14" s="110">
        <v>1</v>
      </c>
      <c r="N14" s="114">
        <v>1</v>
      </c>
      <c r="P14" s="55">
        <v>3</v>
      </c>
      <c r="Q14" s="56">
        <v>0.56379999999999997</v>
      </c>
      <c r="R14" s="59">
        <v>0.50880000000000003</v>
      </c>
      <c r="S14" s="59">
        <v>0.48359999999999997</v>
      </c>
      <c r="T14" s="59">
        <v>0.44640000000000002</v>
      </c>
      <c r="U14" s="59">
        <v>0.41959999999999997</v>
      </c>
      <c r="V14" s="59">
        <v>0.38979999999999998</v>
      </c>
      <c r="W14" s="59">
        <v>0.3619</v>
      </c>
      <c r="X14" s="59">
        <v>0.35410000000000003</v>
      </c>
      <c r="Y14" s="59">
        <v>0.3523</v>
      </c>
      <c r="Z14" s="59">
        <v>0.35580000000000001</v>
      </c>
      <c r="AA14" s="59">
        <v>0.33329999999999999</v>
      </c>
      <c r="AB14" s="57">
        <v>0.61939999999999995</v>
      </c>
      <c r="AC14" s="61">
        <v>0.3407</v>
      </c>
      <c r="AE14" s="55">
        <v>3</v>
      </c>
      <c r="AF14" s="56">
        <v>0.32769999999999999</v>
      </c>
      <c r="AG14" s="59">
        <v>0.29070000000000001</v>
      </c>
      <c r="AH14" s="59">
        <v>0.26350000000000001</v>
      </c>
      <c r="AI14" s="59">
        <v>0.24629999999999999</v>
      </c>
      <c r="AJ14" s="59">
        <v>0.22850000000000001</v>
      </c>
      <c r="AK14" s="59">
        <v>0.21529999999999999</v>
      </c>
      <c r="AL14" s="59">
        <v>0.1976</v>
      </c>
      <c r="AM14" s="59">
        <v>0.1946</v>
      </c>
      <c r="AN14" s="59">
        <v>0.1946</v>
      </c>
      <c r="AO14" s="59">
        <v>0.21229999999999999</v>
      </c>
      <c r="AP14" s="59">
        <v>0.20050000000000001</v>
      </c>
      <c r="AQ14" s="57">
        <v>0.4244</v>
      </c>
      <c r="AR14" s="61">
        <v>0.20200000000000001</v>
      </c>
      <c r="AT14" s="53">
        <v>1</v>
      </c>
      <c r="AU14" s="54">
        <v>12</v>
      </c>
      <c r="AV14" s="54" t="str" cm="1">
        <f t="array" ref="AV14">SUBSTITUTE(INDEX($A$3:$A$15,AT14),"10","T")</f>
        <v>A</v>
      </c>
      <c r="AW14" s="54" t="str" cm="1">
        <f t="array" ref="AW14">SUBSTITUTE(INDEX($B$2:$N$2,AU14),"10","T")</f>
        <v>3</v>
      </c>
      <c r="AX14" s="92" t="str">
        <f t="shared" si="1"/>
        <v>A3s</v>
      </c>
      <c r="AY14" s="67" cm="1">
        <f t="array" ref="AY14">INDEX(starting2players,AT14,AU14)</f>
        <v>0.58509999999999995</v>
      </c>
      <c r="AZ14" s="68" cm="1">
        <f t="array" ref="AZ14">INDEX(starting3players,AT14,AU14)</f>
        <v>0.3599</v>
      </c>
      <c r="BA14" s="68" cm="1">
        <f t="array" ref="BA14">INDEX(starting4players,AT14,AU14)</f>
        <v>0.2772</v>
      </c>
      <c r="BB14" s="68" cm="1">
        <f t="array" ref="BB14">INDEX(starting5players,AT14,AU14)</f>
        <v>0.2145</v>
      </c>
      <c r="BC14" s="68" cm="1">
        <f t="array" ref="BC14">INDEX(starting6players,AT14,AU14)</f>
        <v>0.18590000000000001</v>
      </c>
      <c r="BD14" s="68" cm="1">
        <f t="array" ref="BD14">INDEX(starting7players,AT14,AU14)</f>
        <v>0.1414</v>
      </c>
      <c r="BE14" s="68" cm="1">
        <f t="array" ref="BE14">INDEX(starting8players,AT14,AU14)</f>
        <v>0.14000000000000001</v>
      </c>
      <c r="BF14" s="69" cm="1">
        <f t="array" ref="BF14">INDEX(starting9players,AT14,AU14)</f>
        <v>0.13370000000000001</v>
      </c>
    </row>
    <row r="15" spans="1:58" ht="12.75" thickTop="1">
      <c r="A15" s="62">
        <v>2</v>
      </c>
      <c r="B15" s="115">
        <v>1</v>
      </c>
      <c r="C15" s="116">
        <v>1</v>
      </c>
      <c r="D15" s="116">
        <v>1</v>
      </c>
      <c r="E15" s="116">
        <v>1</v>
      </c>
      <c r="F15" s="116">
        <v>1</v>
      </c>
      <c r="G15" s="116">
        <v>1</v>
      </c>
      <c r="H15" s="116">
        <v>1</v>
      </c>
      <c r="I15" s="116">
        <v>1</v>
      </c>
      <c r="J15" s="116">
        <v>1</v>
      </c>
      <c r="K15" s="116">
        <v>1</v>
      </c>
      <c r="L15" s="116">
        <v>1</v>
      </c>
      <c r="M15" s="116">
        <v>1</v>
      </c>
      <c r="N15" s="117">
        <v>1</v>
      </c>
      <c r="P15" s="62">
        <v>2</v>
      </c>
      <c r="Q15" s="63">
        <v>0.56720000000000004</v>
      </c>
      <c r="R15" s="64">
        <v>0.49869999999999998</v>
      </c>
      <c r="S15" s="64">
        <v>0.47920000000000001</v>
      </c>
      <c r="T15" s="64">
        <v>0.44080000000000003</v>
      </c>
      <c r="U15" s="64">
        <v>0.4143</v>
      </c>
      <c r="V15" s="64">
        <v>0.38729999999999998</v>
      </c>
      <c r="W15" s="64">
        <v>0.3488</v>
      </c>
      <c r="X15" s="64">
        <v>0.3327</v>
      </c>
      <c r="Y15" s="64">
        <v>0.33090000000000003</v>
      </c>
      <c r="Z15" s="64">
        <v>0.32100000000000001</v>
      </c>
      <c r="AA15" s="64">
        <v>0.31419999999999998</v>
      </c>
      <c r="AB15" s="64">
        <v>0.31259999999999999</v>
      </c>
      <c r="AC15" s="65">
        <v>0.59770000000000001</v>
      </c>
      <c r="AE15" s="62">
        <v>2</v>
      </c>
      <c r="AF15" s="63">
        <v>0.33040000000000003</v>
      </c>
      <c r="AG15" s="64">
        <v>0.29449999999999998</v>
      </c>
      <c r="AH15" s="64">
        <v>0.26050000000000001</v>
      </c>
      <c r="AI15" s="64">
        <v>0.23269999999999999</v>
      </c>
      <c r="AJ15" s="64">
        <v>0.22819999999999999</v>
      </c>
      <c r="AK15" s="64">
        <v>0.20419999999999999</v>
      </c>
      <c r="AL15" s="64">
        <v>0.1953</v>
      </c>
      <c r="AM15" s="64">
        <v>0.17829999999999999</v>
      </c>
      <c r="AN15" s="64">
        <v>0.1822</v>
      </c>
      <c r="AO15" s="64">
        <v>0.19159999999999999</v>
      </c>
      <c r="AP15" s="64">
        <v>0.18290000000000001</v>
      </c>
      <c r="AQ15" s="64">
        <v>0.17560000000000001</v>
      </c>
      <c r="AR15" s="65">
        <v>0.40660000000000002</v>
      </c>
      <c r="AT15" s="70">
        <v>1</v>
      </c>
      <c r="AU15" s="71">
        <v>13</v>
      </c>
      <c r="AV15" s="71" t="str" cm="1">
        <f t="array" ref="AV15">SUBSTITUTE(INDEX($A$3:$A$15,AT15),"10","T")</f>
        <v>A</v>
      </c>
      <c r="AW15" s="71" t="str" cm="1">
        <f t="array" ref="AW15">SUBSTITUTE(INDEX($B$2:$N$2,AU15),"10","T")</f>
        <v>2</v>
      </c>
      <c r="AX15" s="91" t="str">
        <f t="shared" si="1"/>
        <v>A2s</v>
      </c>
      <c r="AY15" s="72" cm="1">
        <f t="array" ref="AY15">INDEX(starting2players,AT15,AU15)</f>
        <v>0.58420000000000005</v>
      </c>
      <c r="AZ15" s="73" cm="1">
        <f t="array" ref="AZ15">INDEX(starting3players,AT15,AU15)</f>
        <v>0.36099999999999999</v>
      </c>
      <c r="BA15" s="73" cm="1">
        <f t="array" ref="BA15">INDEX(starting4players,AT15,AU15)</f>
        <v>0.26819999999999999</v>
      </c>
      <c r="BB15" s="73" cm="1">
        <f t="array" ref="BB15">INDEX(starting5players,AT15,AU15)</f>
        <v>0.21859999999999999</v>
      </c>
      <c r="BC15" s="73" cm="1">
        <f t="array" ref="BC15">INDEX(starting6players,AT15,AU15)</f>
        <v>0.18410000000000001</v>
      </c>
      <c r="BD15" s="73" cm="1">
        <f t="array" ref="BD15">INDEX(starting7players,AT15,AU15)</f>
        <v>0.13320000000000001</v>
      </c>
      <c r="BE15" s="73" cm="1">
        <f t="array" ref="BE15">INDEX(starting8players,AT15,AU15)</f>
        <v>0.1356</v>
      </c>
      <c r="BF15" s="74" cm="1">
        <f t="array" ref="BF15">INDEX(starting9players,AT15,AU15)</f>
        <v>0.12859999999999999</v>
      </c>
    </row>
    <row r="16" spans="1:58">
      <c r="AT16" s="53">
        <v>2</v>
      </c>
      <c r="AU16" s="54">
        <v>1</v>
      </c>
      <c r="AV16" s="54" t="str" cm="1">
        <f t="array" ref="AV16">SUBSTITUTE(INDEX($A$3:$A$15,AT16),"10","T")</f>
        <v>K</v>
      </c>
      <c r="AW16" s="54" t="str" cm="1">
        <f t="array" ref="AW16">SUBSTITUTE(INDEX($B$2:$N$2,AU16),"10","T")</f>
        <v>A</v>
      </c>
      <c r="AX16" s="92" t="str">
        <f t="shared" si="1"/>
        <v>AKo</v>
      </c>
      <c r="AY16" s="67" cm="1">
        <f t="array" ref="AY16">INDEX(starting2players,AT16,AU16)</f>
        <v>0.68120000000000003</v>
      </c>
      <c r="AZ16" s="68" cm="1">
        <f t="array" ref="AZ16">INDEX(starting3players,AT16,AU16)</f>
        <v>0.46939999999999998</v>
      </c>
      <c r="BA16" s="68" cm="1">
        <f t="array" ref="BA16">INDEX(starting4players,AT16,AU16)</f>
        <v>0.36870000000000003</v>
      </c>
      <c r="BB16" s="68" cm="1">
        <f t="array" ref="BB16">INDEX(starting5players,AT16,AU16)</f>
        <v>0.31359999999999999</v>
      </c>
      <c r="BC16" s="68" cm="1">
        <f t="array" ref="BC16">INDEX(starting6players,AT16,AU16)</f>
        <v>0.25879999999999997</v>
      </c>
      <c r="BD16" s="68" cm="1">
        <f t="array" ref="BD16">INDEX(starting7players,AT16,AU16)</f>
        <v>0.2014</v>
      </c>
      <c r="BE16" s="68" cm="1">
        <f t="array" ref="BE16">INDEX(starting8players,AT16,AU16)</f>
        <v>0.19839999999999999</v>
      </c>
      <c r="BF16" s="69" cm="1">
        <f t="array" ref="BF16">INDEX(starting9players,AT16,AU16)</f>
        <v>0.1898</v>
      </c>
    </row>
    <row r="17" spans="1:58">
      <c r="A17" s="129" t="s">
        <v>74</v>
      </c>
      <c r="B17" s="129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N17" s="129"/>
      <c r="P17" s="129" t="s">
        <v>75</v>
      </c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E17" s="129" t="s">
        <v>73</v>
      </c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T17" s="70">
        <v>2</v>
      </c>
      <c r="AU17" s="71">
        <v>2</v>
      </c>
      <c r="AV17" s="71" t="str" cm="1">
        <f t="array" ref="AV17">SUBSTITUTE(INDEX($A$3:$A$15,AT17),"10","T")</f>
        <v>K</v>
      </c>
      <c r="AW17" s="71" t="str" cm="1">
        <f t="array" ref="AW17">SUBSTITUTE(INDEX($B$2:$N$2,AU17),"10","T")</f>
        <v>K</v>
      </c>
      <c r="AX17" s="91" t="str">
        <f t="shared" si="1"/>
        <v>KK</v>
      </c>
      <c r="AY17" s="72" cm="1">
        <f t="array" ref="AY17">INDEX(starting2players,AT17,AU17)</f>
        <v>0.85309999999999997</v>
      </c>
      <c r="AZ17" s="73" cm="1">
        <f t="array" ref="AZ17">INDEX(starting3players,AT17,AU17)</f>
        <v>0.73440000000000005</v>
      </c>
      <c r="BA17" s="73" cm="1">
        <f t="array" ref="BA17">INDEX(starting4players,AT17,AU17)</f>
        <v>0.61360000000000003</v>
      </c>
      <c r="BB17" s="73" cm="1">
        <f t="array" ref="BB17">INDEX(starting5players,AT17,AU17)</f>
        <v>0.51719999999999999</v>
      </c>
      <c r="BC17" s="73" cm="1">
        <f t="array" ref="BC17">INDEX(starting6players,AT17,AU17)</f>
        <v>0.46660000000000001</v>
      </c>
      <c r="BD17" s="73" cm="1">
        <f t="array" ref="BD17">INDEX(starting7players,AT17,AU17)</f>
        <v>0.41820000000000002</v>
      </c>
      <c r="BE17" s="73" cm="1">
        <f t="array" ref="BE17">INDEX(starting8players,AT17,AU17)</f>
        <v>0.38369999999999999</v>
      </c>
      <c r="BF17" s="74" cm="1">
        <f t="array" ref="BF17">INDEX(starting9players,AT17,AU17)</f>
        <v>0.2702</v>
      </c>
    </row>
    <row r="18" spans="1:58">
      <c r="A18" s="44"/>
      <c r="B18" s="45" t="s">
        <v>3</v>
      </c>
      <c r="C18" s="46" t="s">
        <v>7</v>
      </c>
      <c r="D18" s="46" t="s">
        <v>6</v>
      </c>
      <c r="E18" s="46" t="s">
        <v>5</v>
      </c>
      <c r="F18" s="46">
        <v>10</v>
      </c>
      <c r="G18" s="46">
        <v>9</v>
      </c>
      <c r="H18" s="46">
        <v>8</v>
      </c>
      <c r="I18" s="46">
        <v>7</v>
      </c>
      <c r="J18" s="46">
        <v>6</v>
      </c>
      <c r="K18" s="46">
        <v>5</v>
      </c>
      <c r="L18" s="46">
        <v>4</v>
      </c>
      <c r="M18" s="46">
        <v>3</v>
      </c>
      <c r="N18" s="47">
        <v>2</v>
      </c>
      <c r="P18" s="44"/>
      <c r="Q18" s="45" t="s">
        <v>3</v>
      </c>
      <c r="R18" s="46" t="s">
        <v>7</v>
      </c>
      <c r="S18" s="46" t="s">
        <v>6</v>
      </c>
      <c r="T18" s="46" t="s">
        <v>5</v>
      </c>
      <c r="U18" s="46">
        <v>10</v>
      </c>
      <c r="V18" s="46">
        <v>9</v>
      </c>
      <c r="W18" s="46">
        <v>8</v>
      </c>
      <c r="X18" s="46">
        <v>7</v>
      </c>
      <c r="Y18" s="46">
        <v>6</v>
      </c>
      <c r="Z18" s="46">
        <v>5</v>
      </c>
      <c r="AA18" s="46">
        <v>4</v>
      </c>
      <c r="AB18" s="46">
        <v>3</v>
      </c>
      <c r="AC18" s="47">
        <v>2</v>
      </c>
      <c r="AE18" s="44"/>
      <c r="AF18" s="45" t="s">
        <v>3</v>
      </c>
      <c r="AG18" s="46" t="s">
        <v>7</v>
      </c>
      <c r="AH18" s="46" t="s">
        <v>6</v>
      </c>
      <c r="AI18" s="46" t="s">
        <v>5</v>
      </c>
      <c r="AJ18" s="46">
        <v>10</v>
      </c>
      <c r="AK18" s="46">
        <v>9</v>
      </c>
      <c r="AL18" s="46">
        <v>8</v>
      </c>
      <c r="AM18" s="46">
        <v>7</v>
      </c>
      <c r="AN18" s="46">
        <v>6</v>
      </c>
      <c r="AO18" s="46">
        <v>5</v>
      </c>
      <c r="AP18" s="46">
        <v>4</v>
      </c>
      <c r="AQ18" s="46">
        <v>3</v>
      </c>
      <c r="AR18" s="47">
        <v>2</v>
      </c>
      <c r="AT18" s="53">
        <v>2</v>
      </c>
      <c r="AU18" s="54">
        <v>3</v>
      </c>
      <c r="AV18" s="54" t="str" cm="1">
        <f t="array" ref="AV18">SUBSTITUTE(INDEX($A$3:$A$15,AT18),"10","T")</f>
        <v>K</v>
      </c>
      <c r="AW18" s="54" t="str" cm="1">
        <f t="array" ref="AW18">SUBSTITUTE(INDEX($B$2:$N$2,AU18),"10","T")</f>
        <v>Q</v>
      </c>
      <c r="AX18" s="92" t="str">
        <f t="shared" si="1"/>
        <v>KQs</v>
      </c>
      <c r="AY18" s="67" cm="1">
        <f t="array" ref="AY18">INDEX(starting2players,AT18,AU18)</f>
        <v>0.6542</v>
      </c>
      <c r="AZ18" s="68" cm="1">
        <f t="array" ref="AZ18">INDEX(starting3players,AT18,AU18)</f>
        <v>0.44779999999999998</v>
      </c>
      <c r="BA18" s="68" cm="1">
        <f t="array" ref="BA18">INDEX(starting4players,AT18,AU18)</f>
        <v>0.37130000000000002</v>
      </c>
      <c r="BB18" s="68" cm="1">
        <f t="array" ref="BB18">INDEX(starting5players,AT18,AU18)</f>
        <v>0.30819999999999997</v>
      </c>
      <c r="BC18" s="68" cm="1">
        <f t="array" ref="BC18">INDEX(starting6players,AT18,AU18)</f>
        <v>0.27189999999999998</v>
      </c>
      <c r="BD18" s="68" cm="1">
        <f t="array" ref="BD18">INDEX(starting7players,AT18,AU18)</f>
        <v>0.21659999999999999</v>
      </c>
      <c r="BE18" s="68" cm="1">
        <f t="array" ref="BE18">INDEX(starting8players,AT18,AU18)</f>
        <v>0.21510000000000001</v>
      </c>
      <c r="BF18" s="69" cm="1">
        <f t="array" ref="BF18">INDEX(starting9players,AT18,AU18)</f>
        <v>0.1951</v>
      </c>
    </row>
    <row r="19" spans="1:58" ht="12.75" thickBot="1">
      <c r="A19" s="48" t="s">
        <v>3</v>
      </c>
      <c r="B19" s="49">
        <v>0.65180000000000005</v>
      </c>
      <c r="C19" s="50">
        <v>0.38869999999999999</v>
      </c>
      <c r="D19" s="51">
        <v>0.37509999999999999</v>
      </c>
      <c r="E19" s="51">
        <v>0.3695</v>
      </c>
      <c r="F19" s="51">
        <v>0.35439999999999999</v>
      </c>
      <c r="G19" s="51">
        <v>0.32690000000000002</v>
      </c>
      <c r="H19" s="51">
        <v>0.30180000000000001</v>
      </c>
      <c r="I19" s="51">
        <v>0.29820000000000002</v>
      </c>
      <c r="J19" s="51">
        <v>0.2782</v>
      </c>
      <c r="K19" s="51">
        <v>0.29110000000000003</v>
      </c>
      <c r="L19" s="51">
        <v>0.2888</v>
      </c>
      <c r="M19" s="51">
        <v>0.2772</v>
      </c>
      <c r="N19" s="52">
        <v>0.26819999999999999</v>
      </c>
      <c r="P19" s="48" t="s">
        <v>3</v>
      </c>
      <c r="Q19" s="49">
        <v>0.56730000000000003</v>
      </c>
      <c r="R19" s="50">
        <v>0.34160000000000001</v>
      </c>
      <c r="S19" s="51">
        <v>0.31900000000000001</v>
      </c>
      <c r="T19" s="51">
        <v>0.30509999999999998</v>
      </c>
      <c r="U19" s="51">
        <v>0.30209999999999998</v>
      </c>
      <c r="V19" s="51">
        <v>0.2601</v>
      </c>
      <c r="W19" s="51">
        <v>0.2465</v>
      </c>
      <c r="X19" s="51">
        <v>0.2457</v>
      </c>
      <c r="Y19" s="51">
        <v>0.21759999999999999</v>
      </c>
      <c r="Z19" s="51">
        <v>0.2326</v>
      </c>
      <c r="AA19" s="51">
        <v>0.23830000000000001</v>
      </c>
      <c r="AB19" s="51">
        <v>0.2145</v>
      </c>
      <c r="AC19" s="52">
        <v>0.21859999999999999</v>
      </c>
      <c r="AE19" s="48" t="s">
        <v>3</v>
      </c>
      <c r="AF19" s="49">
        <v>0.51480000000000004</v>
      </c>
      <c r="AG19" s="50">
        <v>0.29820000000000002</v>
      </c>
      <c r="AH19" s="51">
        <v>0.26919999999999999</v>
      </c>
      <c r="AI19" s="51">
        <v>0.25669999999999998</v>
      </c>
      <c r="AJ19" s="51">
        <v>0.26179999999999998</v>
      </c>
      <c r="AK19" s="51">
        <v>0.22700000000000001</v>
      </c>
      <c r="AL19" s="51">
        <v>0.21490000000000001</v>
      </c>
      <c r="AM19" s="51">
        <v>0.19470000000000001</v>
      </c>
      <c r="AN19" s="51">
        <v>0.19089999999999999</v>
      </c>
      <c r="AO19" s="51">
        <v>0.19769999999999999</v>
      </c>
      <c r="AP19" s="51">
        <v>0.1915</v>
      </c>
      <c r="AQ19" s="51">
        <v>0.18590000000000001</v>
      </c>
      <c r="AR19" s="52">
        <v>0.18410000000000001</v>
      </c>
      <c r="AT19" s="70">
        <v>2</v>
      </c>
      <c r="AU19" s="71">
        <v>4</v>
      </c>
      <c r="AV19" s="71" t="str" cm="1">
        <f t="array" ref="AV19">SUBSTITUTE(INDEX($A$3:$A$15,AT19),"10","T")</f>
        <v>K</v>
      </c>
      <c r="AW19" s="71" t="str" cm="1">
        <f t="array" ref="AW19">SUBSTITUTE(INDEX($B$2:$N$2,AU19),"10","T")</f>
        <v>J</v>
      </c>
      <c r="AX19" s="91" t="str">
        <f t="shared" si="1"/>
        <v>KJs</v>
      </c>
      <c r="AY19" s="72" cm="1">
        <f t="array" ref="AY19">INDEX(starting2players,AT19,AU19)</f>
        <v>0.64880000000000004</v>
      </c>
      <c r="AZ19" s="73" cm="1">
        <f t="array" ref="AZ19">INDEX(starting3players,AT19,AU19)</f>
        <v>0.45100000000000001</v>
      </c>
      <c r="BA19" s="73" cm="1">
        <f t="array" ref="BA19">INDEX(starting4players,AT19,AU19)</f>
        <v>0.34610000000000002</v>
      </c>
      <c r="BB19" s="73" cm="1">
        <f t="array" ref="BB19">INDEX(starting5players,AT19,AU19)</f>
        <v>0.28620000000000001</v>
      </c>
      <c r="BC19" s="73" cm="1">
        <f t="array" ref="BC19">INDEX(starting6players,AT19,AU19)</f>
        <v>0.24149999999999999</v>
      </c>
      <c r="BD19" s="73" cm="1">
        <f t="array" ref="BD19">INDEX(starting7players,AT19,AU19)</f>
        <v>0.19750000000000001</v>
      </c>
      <c r="BE19" s="73" cm="1">
        <f t="array" ref="BE19">INDEX(starting8players,AT19,AU19)</f>
        <v>0.19220000000000001</v>
      </c>
      <c r="BF19" s="74" cm="1">
        <f t="array" ref="BF19">INDEX(starting9players,AT19,AU19)</f>
        <v>0.18590000000000001</v>
      </c>
    </row>
    <row r="20" spans="1:58" ht="13.5" thickTop="1" thickBot="1">
      <c r="A20" s="55" t="s">
        <v>7</v>
      </c>
      <c r="B20" s="56">
        <v>0.36870000000000003</v>
      </c>
      <c r="C20" s="57">
        <v>0.61360000000000003</v>
      </c>
      <c r="D20" s="58">
        <v>0.37130000000000002</v>
      </c>
      <c r="E20" s="59">
        <v>0.34610000000000002</v>
      </c>
      <c r="F20" s="59">
        <v>0.34610000000000002</v>
      </c>
      <c r="G20" s="59">
        <v>0.31169999999999998</v>
      </c>
      <c r="H20" s="59">
        <v>0.29709999999999998</v>
      </c>
      <c r="I20" s="59">
        <v>0.27910000000000001</v>
      </c>
      <c r="J20" s="59">
        <v>0.26219999999999999</v>
      </c>
      <c r="K20" s="59">
        <v>0.25559999999999999</v>
      </c>
      <c r="L20" s="59">
        <v>0.25130000000000002</v>
      </c>
      <c r="M20" s="59">
        <v>0.24859999999999999</v>
      </c>
      <c r="N20" s="60">
        <v>0.2288</v>
      </c>
      <c r="P20" s="55" t="s">
        <v>7</v>
      </c>
      <c r="Q20" s="56">
        <v>0.31359999999999999</v>
      </c>
      <c r="R20" s="57">
        <v>0.51719999999999999</v>
      </c>
      <c r="S20" s="58">
        <v>0.30819999999999997</v>
      </c>
      <c r="T20" s="59">
        <v>0.28620000000000001</v>
      </c>
      <c r="U20" s="59">
        <v>0.2873</v>
      </c>
      <c r="V20" s="59">
        <v>0.2676</v>
      </c>
      <c r="W20" s="59">
        <v>0.23499999999999999</v>
      </c>
      <c r="X20" s="59">
        <v>0.2263</v>
      </c>
      <c r="Y20" s="59">
        <v>0.21490000000000001</v>
      </c>
      <c r="Z20" s="59">
        <v>0.21340000000000001</v>
      </c>
      <c r="AA20" s="59">
        <v>0.19689999999999999</v>
      </c>
      <c r="AB20" s="59">
        <v>0.19739999999999999</v>
      </c>
      <c r="AC20" s="60">
        <v>0.18909999999999999</v>
      </c>
      <c r="AE20" s="55" t="s">
        <v>7</v>
      </c>
      <c r="AF20" s="56">
        <v>0.25879999999999997</v>
      </c>
      <c r="AG20" s="57">
        <v>0.46660000000000001</v>
      </c>
      <c r="AH20" s="58">
        <v>0.27189999999999998</v>
      </c>
      <c r="AI20" s="59">
        <v>0.24149999999999999</v>
      </c>
      <c r="AJ20" s="59">
        <v>0.2412</v>
      </c>
      <c r="AK20" s="59">
        <v>0.217</v>
      </c>
      <c r="AL20" s="59">
        <v>0.1905</v>
      </c>
      <c r="AM20" s="59">
        <v>0.18940000000000001</v>
      </c>
      <c r="AN20" s="59">
        <v>0.18229999999999999</v>
      </c>
      <c r="AO20" s="59">
        <v>0.17199999999999999</v>
      </c>
      <c r="AP20" s="59">
        <v>0.17419999999999999</v>
      </c>
      <c r="AQ20" s="59">
        <v>0.17449999999999999</v>
      </c>
      <c r="AR20" s="60">
        <v>0.16739999999999999</v>
      </c>
      <c r="AT20" s="53">
        <v>2</v>
      </c>
      <c r="AU20" s="54">
        <v>5</v>
      </c>
      <c r="AV20" s="54" t="str" cm="1">
        <f t="array" ref="AV20">SUBSTITUTE(INDEX($A$3:$A$15,AT20),"10","T")</f>
        <v>K</v>
      </c>
      <c r="AW20" s="54" t="str" cm="1">
        <f t="array" ref="AW20">SUBSTITUTE(INDEX($B$2:$N$2,AU20),"10","T")</f>
        <v>T</v>
      </c>
      <c r="AX20" s="92" t="str">
        <f t="shared" si="1"/>
        <v>KTs</v>
      </c>
      <c r="AY20" s="67" cm="1">
        <f t="array" ref="AY20">INDEX(starting2players,AT20,AU20)</f>
        <v>0.62870000000000004</v>
      </c>
      <c r="AZ20" s="68" cm="1">
        <f t="array" ref="AZ20">INDEX(starting3players,AT20,AU20)</f>
        <v>0.4415</v>
      </c>
      <c r="BA20" s="68" cm="1">
        <f t="array" ref="BA20">INDEX(starting4players,AT20,AU20)</f>
        <v>0.34610000000000002</v>
      </c>
      <c r="BB20" s="68" cm="1">
        <f t="array" ref="BB20">INDEX(starting5players,AT20,AU20)</f>
        <v>0.2873</v>
      </c>
      <c r="BC20" s="68" cm="1">
        <f t="array" ref="BC20">INDEX(starting6players,AT20,AU20)</f>
        <v>0.2412</v>
      </c>
      <c r="BD20" s="68" cm="1">
        <f t="array" ref="BD20">INDEX(starting7players,AT20,AU20)</f>
        <v>0.19689999999999999</v>
      </c>
      <c r="BE20" s="68" cm="1">
        <f t="array" ref="BE20">INDEX(starting8players,AT20,AU20)</f>
        <v>0.18210000000000001</v>
      </c>
      <c r="BF20" s="69" cm="1">
        <f t="array" ref="BF20">INDEX(starting9players,AT20,AU20)</f>
        <v>0.18260000000000001</v>
      </c>
    </row>
    <row r="21" spans="1:58" ht="13.5" thickTop="1" thickBot="1">
      <c r="A21" s="55" t="s">
        <v>6</v>
      </c>
      <c r="B21" s="56">
        <v>0.34339999999999998</v>
      </c>
      <c r="C21" s="59">
        <v>0.32629999999999998</v>
      </c>
      <c r="D21" s="57">
        <v>0.56789999999999996</v>
      </c>
      <c r="E21" s="58">
        <v>0.34660000000000002</v>
      </c>
      <c r="F21" s="59">
        <v>0.32440000000000002</v>
      </c>
      <c r="G21" s="59">
        <v>0.30559999999999998</v>
      </c>
      <c r="H21" s="59">
        <v>0.26829999999999998</v>
      </c>
      <c r="I21" s="59">
        <v>0.2606</v>
      </c>
      <c r="J21" s="59">
        <v>0.24399999999999999</v>
      </c>
      <c r="K21" s="59">
        <v>0.23519999999999999</v>
      </c>
      <c r="L21" s="59">
        <v>0.2339</v>
      </c>
      <c r="M21" s="59">
        <v>0.23400000000000001</v>
      </c>
      <c r="N21" s="60">
        <v>0.22839999999999999</v>
      </c>
      <c r="P21" s="55" t="s">
        <v>6</v>
      </c>
      <c r="Q21" s="56">
        <v>0.2838</v>
      </c>
      <c r="R21" s="59">
        <v>0.2782</v>
      </c>
      <c r="S21" s="57">
        <v>0.48970000000000002</v>
      </c>
      <c r="T21" s="58">
        <v>0.29239999999999999</v>
      </c>
      <c r="U21" s="59">
        <v>0.26519999999999999</v>
      </c>
      <c r="V21" s="59">
        <v>0.2475</v>
      </c>
      <c r="W21" s="59">
        <v>0.2268</v>
      </c>
      <c r="X21" s="59">
        <v>0.20449999999999999</v>
      </c>
      <c r="Y21" s="59">
        <v>0.19819999999999999</v>
      </c>
      <c r="Z21" s="59">
        <v>0.19159999999999999</v>
      </c>
      <c r="AA21" s="59">
        <v>0.18820000000000001</v>
      </c>
      <c r="AB21" s="59">
        <v>0.18679999999999999</v>
      </c>
      <c r="AC21" s="60">
        <v>0.1817</v>
      </c>
      <c r="AE21" s="55" t="s">
        <v>6</v>
      </c>
      <c r="AF21" s="56">
        <v>0.23469999999999999</v>
      </c>
      <c r="AG21" s="59">
        <v>0.23130000000000001</v>
      </c>
      <c r="AH21" s="57">
        <v>0.42970000000000003</v>
      </c>
      <c r="AI21" s="58">
        <v>0.2485</v>
      </c>
      <c r="AJ21" s="59">
        <v>0.23169999999999999</v>
      </c>
      <c r="AK21" s="59">
        <v>0.2135</v>
      </c>
      <c r="AL21" s="59">
        <v>0.19589999999999999</v>
      </c>
      <c r="AM21" s="59">
        <v>0.16919999999999999</v>
      </c>
      <c r="AN21" s="59">
        <v>0.1603</v>
      </c>
      <c r="AO21" s="59">
        <v>0.15870000000000001</v>
      </c>
      <c r="AP21" s="59">
        <v>0.1565</v>
      </c>
      <c r="AQ21" s="59">
        <v>0.16009999999999999</v>
      </c>
      <c r="AR21" s="60">
        <v>0.15640000000000001</v>
      </c>
      <c r="AT21" s="70">
        <v>2</v>
      </c>
      <c r="AU21" s="71">
        <v>6</v>
      </c>
      <c r="AV21" s="71" t="str" cm="1">
        <f t="array" ref="AV21">SUBSTITUTE(INDEX($A$3:$A$15,AT21),"10","T")</f>
        <v>K</v>
      </c>
      <c r="AW21" s="71" t="str" cm="1">
        <f t="array" ref="AW21">SUBSTITUTE(INDEX($B$2:$N$2,AU21),"10","T")</f>
        <v>9</v>
      </c>
      <c r="AX21" s="91" t="str">
        <f t="shared" si="1"/>
        <v>K9s</v>
      </c>
      <c r="AY21" s="72" cm="1">
        <f t="array" ref="AY21">INDEX(starting2players,AT21,AU21)</f>
        <v>0.61660000000000004</v>
      </c>
      <c r="AZ21" s="73" cm="1">
        <f t="array" ref="AZ21">INDEX(starting3players,AT21,AU21)</f>
        <v>0.41160000000000002</v>
      </c>
      <c r="BA21" s="73" cm="1">
        <f t="array" ref="BA21">INDEX(starting4players,AT21,AU21)</f>
        <v>0.31169999999999998</v>
      </c>
      <c r="BB21" s="73" cm="1">
        <f t="array" ref="BB21">INDEX(starting5players,AT21,AU21)</f>
        <v>0.2676</v>
      </c>
      <c r="BC21" s="73" cm="1">
        <f t="array" ref="BC21">INDEX(starting6players,AT21,AU21)</f>
        <v>0.217</v>
      </c>
      <c r="BD21" s="73" cm="1">
        <f t="array" ref="BD21">INDEX(starting7players,AT21,AU21)</f>
        <v>0.16589999999999999</v>
      </c>
      <c r="BE21" s="73" cm="1">
        <f t="array" ref="BE21">INDEX(starting8players,AT21,AU21)</f>
        <v>0.17</v>
      </c>
      <c r="BF21" s="74" cm="1">
        <f t="array" ref="BF21">INDEX(starting9players,AT21,AU21)</f>
        <v>0.152</v>
      </c>
    </row>
    <row r="22" spans="1:58" ht="13.5" thickTop="1" thickBot="1">
      <c r="A22" s="55" t="s">
        <v>5</v>
      </c>
      <c r="B22" s="56">
        <v>0.33239999999999997</v>
      </c>
      <c r="C22" s="59">
        <v>0.31879999999999997</v>
      </c>
      <c r="D22" s="59">
        <v>0.29599999999999999</v>
      </c>
      <c r="E22" s="57">
        <v>0.52910000000000001</v>
      </c>
      <c r="F22" s="58">
        <v>0.31850000000000001</v>
      </c>
      <c r="G22" s="59">
        <v>0.2918</v>
      </c>
      <c r="H22" s="59">
        <v>0.27629999999999999</v>
      </c>
      <c r="I22" s="59">
        <v>0.25319999999999998</v>
      </c>
      <c r="J22" s="59">
        <v>0.23480000000000001</v>
      </c>
      <c r="K22" s="59">
        <v>0.21709999999999999</v>
      </c>
      <c r="L22" s="59">
        <v>0.21379999999999999</v>
      </c>
      <c r="M22" s="59">
        <v>0.21510000000000001</v>
      </c>
      <c r="N22" s="60">
        <v>0.2034</v>
      </c>
      <c r="P22" s="55" t="s">
        <v>5</v>
      </c>
      <c r="Q22" s="56">
        <v>0.26379999999999998</v>
      </c>
      <c r="R22" s="59">
        <v>0.25269999999999998</v>
      </c>
      <c r="S22" s="59">
        <v>0.24709999999999999</v>
      </c>
      <c r="T22" s="57">
        <v>0.44700000000000001</v>
      </c>
      <c r="U22" s="58">
        <v>0.26140000000000002</v>
      </c>
      <c r="V22" s="59">
        <v>0.23680000000000001</v>
      </c>
      <c r="W22" s="59">
        <v>0.2203</v>
      </c>
      <c r="X22" s="59">
        <v>0.2056</v>
      </c>
      <c r="Y22" s="59">
        <v>0.1757</v>
      </c>
      <c r="Z22" s="59">
        <v>0.1777</v>
      </c>
      <c r="AA22" s="59">
        <v>0.17069999999999999</v>
      </c>
      <c r="AB22" s="59">
        <v>0.1792</v>
      </c>
      <c r="AC22" s="60">
        <v>0.16789999999999999</v>
      </c>
      <c r="AE22" s="55" t="s">
        <v>5</v>
      </c>
      <c r="AF22" s="56">
        <v>0.22159999999999999</v>
      </c>
      <c r="AG22" s="59">
        <v>0.21229999999999999</v>
      </c>
      <c r="AH22" s="59">
        <v>0.22170000000000001</v>
      </c>
      <c r="AI22" s="57">
        <v>0.4012</v>
      </c>
      <c r="AJ22" s="58">
        <v>0.23449999999999999</v>
      </c>
      <c r="AK22" s="59">
        <v>0.2084</v>
      </c>
      <c r="AL22" s="59">
        <v>0.1898</v>
      </c>
      <c r="AM22" s="59">
        <v>0.1638</v>
      </c>
      <c r="AN22" s="59">
        <v>0.15340000000000001</v>
      </c>
      <c r="AO22" s="59">
        <v>0.14649999999999999</v>
      </c>
      <c r="AP22" s="59">
        <v>0.14760000000000001</v>
      </c>
      <c r="AQ22" s="59">
        <v>0.14749999999999999</v>
      </c>
      <c r="AR22" s="60">
        <v>0.1336</v>
      </c>
      <c r="AT22" s="53">
        <v>2</v>
      </c>
      <c r="AU22" s="54">
        <v>7</v>
      </c>
      <c r="AV22" s="54" t="str" cm="1">
        <f t="array" ref="AV22">SUBSTITUTE(INDEX($A$3:$A$15,AT22),"10","T")</f>
        <v>K</v>
      </c>
      <c r="AW22" s="54" t="str" cm="1">
        <f t="array" ref="AW22">SUBSTITUTE(INDEX($B$2:$N$2,AU22),"10","T")</f>
        <v>8</v>
      </c>
      <c r="AX22" s="92" t="str">
        <f t="shared" si="1"/>
        <v>K8s</v>
      </c>
      <c r="AY22" s="67" cm="1">
        <f t="array" ref="AY22">INDEX(starting2players,AT22,AU22)</f>
        <v>0.58579999999999999</v>
      </c>
      <c r="AZ22" s="68" cm="1">
        <f t="array" ref="AZ22">INDEX(starting3players,AT22,AU22)</f>
        <v>0.38090000000000002</v>
      </c>
      <c r="BA22" s="68" cm="1">
        <f t="array" ref="BA22">INDEX(starting4players,AT22,AU22)</f>
        <v>0.29709999999999998</v>
      </c>
      <c r="BB22" s="68" cm="1">
        <f t="array" ref="BB22">INDEX(starting5players,AT22,AU22)</f>
        <v>0.23499999999999999</v>
      </c>
      <c r="BC22" s="68" cm="1">
        <f t="array" ref="BC22">INDEX(starting6players,AT22,AU22)</f>
        <v>0.1905</v>
      </c>
      <c r="BD22" s="68" cm="1">
        <f t="array" ref="BD22">INDEX(starting7players,AT22,AU22)</f>
        <v>0.15060000000000001</v>
      </c>
      <c r="BE22" s="68" cm="1">
        <f t="array" ref="BE22">INDEX(starting8players,AT22,AU22)</f>
        <v>0.14510000000000001</v>
      </c>
      <c r="BF22" s="69" cm="1">
        <f t="array" ref="BF22">INDEX(starting9players,AT22,AU22)</f>
        <v>0.13750000000000001</v>
      </c>
    </row>
    <row r="23" spans="1:58" ht="13.5" thickTop="1" thickBot="1">
      <c r="A23" s="55">
        <v>10</v>
      </c>
      <c r="B23" s="56">
        <v>0.31990000000000002</v>
      </c>
      <c r="C23" s="59">
        <v>0.31040000000000001</v>
      </c>
      <c r="D23" s="59">
        <v>0.28810000000000002</v>
      </c>
      <c r="E23" s="59">
        <v>0.28649999999999998</v>
      </c>
      <c r="F23" s="57">
        <v>0.50309999999999999</v>
      </c>
      <c r="G23" s="58">
        <v>0.29430000000000001</v>
      </c>
      <c r="H23" s="59">
        <v>0.2666</v>
      </c>
      <c r="I23" s="59">
        <v>0.25269999999999998</v>
      </c>
      <c r="J23" s="59">
        <v>0.23139999999999999</v>
      </c>
      <c r="K23" s="59">
        <v>0.21490000000000001</v>
      </c>
      <c r="L23" s="59">
        <v>0.21229999999999999</v>
      </c>
      <c r="M23" s="59">
        <v>0.2036</v>
      </c>
      <c r="N23" s="60">
        <v>0.20230000000000001</v>
      </c>
      <c r="P23" s="55">
        <v>10</v>
      </c>
      <c r="Q23" s="56">
        <v>0.26240000000000002</v>
      </c>
      <c r="R23" s="59">
        <v>0.24510000000000001</v>
      </c>
      <c r="S23" s="59">
        <v>0.23960000000000001</v>
      </c>
      <c r="T23" s="59">
        <v>0.2356</v>
      </c>
      <c r="U23" s="57">
        <v>0.41539999999999999</v>
      </c>
      <c r="V23" s="58">
        <v>0.24440000000000001</v>
      </c>
      <c r="W23" s="59">
        <v>0.22520000000000001</v>
      </c>
      <c r="X23" s="59">
        <v>0.20610000000000001</v>
      </c>
      <c r="Y23" s="59">
        <v>0.18140000000000001</v>
      </c>
      <c r="Z23" s="59">
        <v>0.16600000000000001</v>
      </c>
      <c r="AA23" s="59">
        <v>0.16830000000000001</v>
      </c>
      <c r="AB23" s="59">
        <v>0.16370000000000001</v>
      </c>
      <c r="AC23" s="60">
        <v>0.15690000000000001</v>
      </c>
      <c r="AE23" s="55">
        <v>10</v>
      </c>
      <c r="AF23" s="56">
        <v>0.22120000000000001</v>
      </c>
      <c r="AG23" s="59">
        <v>0.21379999999999999</v>
      </c>
      <c r="AH23" s="59">
        <v>0.1996</v>
      </c>
      <c r="AI23" s="59">
        <v>0.19239999999999999</v>
      </c>
      <c r="AJ23" s="57">
        <v>0.36630000000000001</v>
      </c>
      <c r="AK23" s="58">
        <v>0.2064</v>
      </c>
      <c r="AL23" s="59">
        <v>0.1794</v>
      </c>
      <c r="AM23" s="59">
        <v>0.1757</v>
      </c>
      <c r="AN23" s="59">
        <v>0.1462</v>
      </c>
      <c r="AO23" s="59">
        <v>0.1371</v>
      </c>
      <c r="AP23" s="59">
        <v>0.1376</v>
      </c>
      <c r="AQ23" s="59">
        <v>0.13350000000000001</v>
      </c>
      <c r="AR23" s="60">
        <v>0.1242</v>
      </c>
      <c r="AT23" s="70">
        <v>2</v>
      </c>
      <c r="AU23" s="71">
        <v>8</v>
      </c>
      <c r="AV23" s="71" t="str" cm="1">
        <f t="array" ref="AV23">SUBSTITUTE(INDEX($A$3:$A$15,AT23),"10","T")</f>
        <v>K</v>
      </c>
      <c r="AW23" s="71" t="str" cm="1">
        <f t="array" ref="AW23">SUBSTITUTE(INDEX($B$2:$N$2,AU23),"10","T")</f>
        <v>7</v>
      </c>
      <c r="AX23" s="91" t="str">
        <f t="shared" si="1"/>
        <v>K7s</v>
      </c>
      <c r="AY23" s="72" cm="1">
        <f t="array" ref="AY23">INDEX(starting2players,AT23,AU23)</f>
        <v>0.58409999999999995</v>
      </c>
      <c r="AZ23" s="73" cm="1">
        <f t="array" ref="AZ23">INDEX(starting3players,AT23,AU23)</f>
        <v>0.37080000000000002</v>
      </c>
      <c r="BA23" s="73" cm="1">
        <f t="array" ref="BA23">INDEX(starting4players,AT23,AU23)</f>
        <v>0.27910000000000001</v>
      </c>
      <c r="BB23" s="73" cm="1">
        <f t="array" ref="BB23">INDEX(starting5players,AT23,AU23)</f>
        <v>0.2263</v>
      </c>
      <c r="BC23" s="73" cm="1">
        <f t="array" ref="BC23">INDEX(starting6players,AT23,AU23)</f>
        <v>0.18940000000000001</v>
      </c>
      <c r="BD23" s="73" cm="1">
        <f t="array" ref="BD23">INDEX(starting7players,AT23,AU23)</f>
        <v>0.14099999999999999</v>
      </c>
      <c r="BE23" s="73" cm="1">
        <f t="array" ref="BE23">INDEX(starting8players,AT23,AU23)</f>
        <v>0.1361</v>
      </c>
      <c r="BF23" s="74" cm="1">
        <f t="array" ref="BF23">INDEX(starting9players,AT23,AU23)</f>
        <v>0.12770000000000001</v>
      </c>
    </row>
    <row r="24" spans="1:58" ht="13.5" thickTop="1" thickBot="1">
      <c r="A24" s="55">
        <v>9</v>
      </c>
      <c r="B24" s="56">
        <v>0.29110000000000003</v>
      </c>
      <c r="C24" s="59">
        <v>0.28039999999999998</v>
      </c>
      <c r="D24" s="59">
        <v>0.2737</v>
      </c>
      <c r="E24" s="59">
        <v>0.25829999999999997</v>
      </c>
      <c r="F24" s="59">
        <v>0.26119999999999999</v>
      </c>
      <c r="G24" s="57">
        <v>0.46710000000000002</v>
      </c>
      <c r="H24" s="58">
        <v>0.26390000000000002</v>
      </c>
      <c r="I24" s="59">
        <v>0.23430000000000001</v>
      </c>
      <c r="J24" s="59">
        <v>0.23069999999999999</v>
      </c>
      <c r="K24" s="59">
        <v>0.20810000000000001</v>
      </c>
      <c r="L24" s="59">
        <v>0.1948</v>
      </c>
      <c r="M24" s="59">
        <v>0.1928</v>
      </c>
      <c r="N24" s="60">
        <v>0.1744</v>
      </c>
      <c r="P24" s="55">
        <v>9</v>
      </c>
      <c r="Q24" s="56">
        <v>0.22789999999999999</v>
      </c>
      <c r="R24" s="59">
        <v>0.21940000000000001</v>
      </c>
      <c r="S24" s="59">
        <v>0.21149999999999999</v>
      </c>
      <c r="T24" s="59">
        <v>0.20530000000000001</v>
      </c>
      <c r="U24" s="59">
        <v>0.20979999999999999</v>
      </c>
      <c r="V24" s="57">
        <v>0.37980000000000003</v>
      </c>
      <c r="W24" s="58">
        <v>0.21240000000000001</v>
      </c>
      <c r="X24" s="59">
        <v>0.20069999999999999</v>
      </c>
      <c r="Y24" s="59">
        <v>0.1883</v>
      </c>
      <c r="Z24" s="59">
        <v>0.16669999999999999</v>
      </c>
      <c r="AA24" s="59">
        <v>0.15</v>
      </c>
      <c r="AB24" s="59">
        <v>0.15459999999999999</v>
      </c>
      <c r="AC24" s="60">
        <v>0.14929999999999999</v>
      </c>
      <c r="AE24" s="55">
        <v>9</v>
      </c>
      <c r="AF24" s="56">
        <v>0.18140000000000001</v>
      </c>
      <c r="AG24" s="59">
        <v>0.1754</v>
      </c>
      <c r="AH24" s="59">
        <v>0.1696</v>
      </c>
      <c r="AI24" s="59">
        <v>0.16159999999999999</v>
      </c>
      <c r="AJ24" s="59">
        <v>0.1719</v>
      </c>
      <c r="AK24" s="57">
        <v>0.33939999999999998</v>
      </c>
      <c r="AL24" s="58">
        <v>0.1794</v>
      </c>
      <c r="AM24" s="59">
        <v>0.17599999999999999</v>
      </c>
      <c r="AN24" s="59">
        <v>0.16159999999999999</v>
      </c>
      <c r="AO24" s="59">
        <v>0.14360000000000001</v>
      </c>
      <c r="AP24" s="59">
        <v>0.12989999999999999</v>
      </c>
      <c r="AQ24" s="59">
        <v>0.12659999999999999</v>
      </c>
      <c r="AR24" s="60">
        <v>0.122</v>
      </c>
      <c r="AT24" s="53">
        <v>2</v>
      </c>
      <c r="AU24" s="54">
        <v>9</v>
      </c>
      <c r="AV24" s="54" t="str" cm="1">
        <f t="array" ref="AV24">SUBSTITUTE(INDEX($A$3:$A$15,AT24),"10","T")</f>
        <v>K</v>
      </c>
      <c r="AW24" s="54" t="str" cm="1">
        <f t="array" ref="AW24">SUBSTITUTE(INDEX($B$2:$N$2,AU24),"10","T")</f>
        <v>6</v>
      </c>
      <c r="AX24" s="92" t="str">
        <f t="shared" si="1"/>
        <v>K6s</v>
      </c>
      <c r="AY24" s="67" cm="1">
        <f t="array" ref="AY24">INDEX(starting2players,AT24,AU24)</f>
        <v>0.55740000000000001</v>
      </c>
      <c r="AZ24" s="68" cm="1">
        <f t="array" ref="AZ24">INDEX(starting3players,AT24,AU24)</f>
        <v>0.34720000000000001</v>
      </c>
      <c r="BA24" s="68" cm="1">
        <f t="array" ref="BA24">INDEX(starting4players,AT24,AU24)</f>
        <v>0.26219999999999999</v>
      </c>
      <c r="BB24" s="68" cm="1">
        <f t="array" ref="BB24">INDEX(starting5players,AT24,AU24)</f>
        <v>0.21490000000000001</v>
      </c>
      <c r="BC24" s="68" cm="1">
        <f t="array" ref="BC24">INDEX(starting6players,AT24,AU24)</f>
        <v>0.18229999999999999</v>
      </c>
      <c r="BD24" s="68" cm="1">
        <f t="array" ref="BD24">INDEX(starting7players,AT24,AU24)</f>
        <v>0.13689999999999999</v>
      </c>
      <c r="BE24" s="68" cm="1">
        <f t="array" ref="BE24">INDEX(starting8players,AT24,AU24)</f>
        <v>0.1295</v>
      </c>
      <c r="BF24" s="69" cm="1">
        <f t="array" ref="BF24">INDEX(starting9players,AT24,AU24)</f>
        <v>0.1149</v>
      </c>
    </row>
    <row r="25" spans="1:58" ht="13.5" thickTop="1" thickBot="1">
      <c r="A25" s="55">
        <v>8</v>
      </c>
      <c r="B25" s="56">
        <v>0.26989999999999997</v>
      </c>
      <c r="C25" s="59">
        <v>0.25230000000000002</v>
      </c>
      <c r="D25" s="59">
        <v>0.2419</v>
      </c>
      <c r="E25" s="59">
        <v>0.2326</v>
      </c>
      <c r="F25" s="59">
        <v>0.2321</v>
      </c>
      <c r="G25" s="59">
        <v>0.2258</v>
      </c>
      <c r="H25" s="57">
        <v>0.43230000000000002</v>
      </c>
      <c r="I25" s="58">
        <v>0.23930000000000001</v>
      </c>
      <c r="J25" s="59">
        <v>0.21479999999999999</v>
      </c>
      <c r="K25" s="59">
        <v>0.2172</v>
      </c>
      <c r="L25" s="59">
        <v>0.1973</v>
      </c>
      <c r="M25" s="59">
        <v>0.1721</v>
      </c>
      <c r="N25" s="60">
        <v>0.17580000000000001</v>
      </c>
      <c r="P25" s="55">
        <v>8</v>
      </c>
      <c r="Q25" s="56">
        <v>0.21540000000000001</v>
      </c>
      <c r="R25" s="59">
        <v>0.19159999999999999</v>
      </c>
      <c r="S25" s="59">
        <v>0.18729999999999999</v>
      </c>
      <c r="T25" s="59">
        <v>0.18579999999999999</v>
      </c>
      <c r="U25" s="59">
        <v>0.18690000000000001</v>
      </c>
      <c r="V25" s="59">
        <v>0.1797</v>
      </c>
      <c r="W25" s="57">
        <v>0.37659999999999999</v>
      </c>
      <c r="X25" s="58">
        <v>0.19919999999999999</v>
      </c>
      <c r="Y25" s="59">
        <v>0.18740000000000001</v>
      </c>
      <c r="Z25" s="59">
        <v>0.18629999999999999</v>
      </c>
      <c r="AA25" s="59">
        <v>0.15379999999999999</v>
      </c>
      <c r="AB25" s="59">
        <v>0.13819999999999999</v>
      </c>
      <c r="AC25" s="60">
        <v>0.14729999999999999</v>
      </c>
      <c r="AE25" s="55">
        <v>8</v>
      </c>
      <c r="AF25" s="56">
        <v>0.18099999999999999</v>
      </c>
      <c r="AG25" s="59">
        <v>0.15640000000000001</v>
      </c>
      <c r="AH25" s="59">
        <v>0.15479999999999999</v>
      </c>
      <c r="AI25" s="59">
        <v>0.1542</v>
      </c>
      <c r="AJ25" s="59">
        <v>0.15079999999999999</v>
      </c>
      <c r="AK25" s="59">
        <v>0.14810000000000001</v>
      </c>
      <c r="AL25" s="57">
        <v>0.31759999999999999</v>
      </c>
      <c r="AM25" s="58">
        <v>0.17330000000000001</v>
      </c>
      <c r="AN25" s="59">
        <v>0.1633</v>
      </c>
      <c r="AO25" s="59">
        <v>0.14860000000000001</v>
      </c>
      <c r="AP25" s="59">
        <v>0.12559999999999999</v>
      </c>
      <c r="AQ25" s="59">
        <v>0.12609999999999999</v>
      </c>
      <c r="AR25" s="60">
        <v>0.1187</v>
      </c>
      <c r="AT25" s="70">
        <v>2</v>
      </c>
      <c r="AU25" s="71">
        <v>10</v>
      </c>
      <c r="AV25" s="71" t="str" cm="1">
        <f t="array" ref="AV25">SUBSTITUTE(INDEX($A$3:$A$15,AT25),"10","T")</f>
        <v>K</v>
      </c>
      <c r="AW25" s="71" t="str" cm="1">
        <f t="array" ref="AW25">SUBSTITUTE(INDEX($B$2:$N$2,AU25),"10","T")</f>
        <v>5</v>
      </c>
      <c r="AX25" s="91" t="str">
        <f t="shared" si="1"/>
        <v>K5s</v>
      </c>
      <c r="AY25" s="72" cm="1">
        <f t="array" ref="AY25">INDEX(starting2players,AT25,AU25)</f>
        <v>0.56220000000000003</v>
      </c>
      <c r="AZ25" s="73" cm="1">
        <f t="array" ref="AZ25">INDEX(starting3players,AT25,AU25)</f>
        <v>0.33960000000000001</v>
      </c>
      <c r="BA25" s="73" cm="1">
        <f t="array" ref="BA25">INDEX(starting4players,AT25,AU25)</f>
        <v>0.25559999999999999</v>
      </c>
      <c r="BB25" s="73" cm="1">
        <f t="array" ref="BB25">INDEX(starting5players,AT25,AU25)</f>
        <v>0.21340000000000001</v>
      </c>
      <c r="BC25" s="73" cm="1">
        <f t="array" ref="BC25">INDEX(starting6players,AT25,AU25)</f>
        <v>0.17199999999999999</v>
      </c>
      <c r="BD25" s="73" cm="1">
        <f t="array" ref="BD25">INDEX(starting7players,AT25,AU25)</f>
        <v>0.13159999999999999</v>
      </c>
      <c r="BE25" s="73" cm="1">
        <f t="array" ref="BE25">INDEX(starting8players,AT25,AU25)</f>
        <v>0.1182</v>
      </c>
      <c r="BF25" s="74" cm="1">
        <f t="array" ref="BF25">INDEX(starting9players,AT25,AU25)</f>
        <v>0.11409999999999999</v>
      </c>
    </row>
    <row r="26" spans="1:58" ht="13.5" thickTop="1" thickBot="1">
      <c r="A26" s="55">
        <v>7</v>
      </c>
      <c r="B26" s="56">
        <v>0.25530000000000003</v>
      </c>
      <c r="C26" s="59">
        <v>0.2366</v>
      </c>
      <c r="D26" s="59">
        <v>0.2132</v>
      </c>
      <c r="E26" s="59">
        <v>0.21310000000000001</v>
      </c>
      <c r="F26" s="59">
        <v>0.2109</v>
      </c>
      <c r="G26" s="59">
        <v>0.20860000000000001</v>
      </c>
      <c r="H26" s="59">
        <v>0.21690000000000001</v>
      </c>
      <c r="I26" s="57">
        <v>0.40679999999999999</v>
      </c>
      <c r="J26" s="58">
        <v>0.2293</v>
      </c>
      <c r="K26" s="59">
        <v>0.21490000000000001</v>
      </c>
      <c r="L26" s="59">
        <v>0.19550000000000001</v>
      </c>
      <c r="M26" s="59">
        <v>0.1852</v>
      </c>
      <c r="N26" s="60">
        <v>0.16420000000000001</v>
      </c>
      <c r="P26" s="55">
        <v>7</v>
      </c>
      <c r="Q26" s="56">
        <v>0.20130000000000001</v>
      </c>
      <c r="R26" s="59">
        <v>0.19409999999999999</v>
      </c>
      <c r="S26" s="59">
        <v>0.16600000000000001</v>
      </c>
      <c r="T26" s="59">
        <v>0.17330000000000001</v>
      </c>
      <c r="U26" s="59">
        <v>0.16700000000000001</v>
      </c>
      <c r="V26" s="59">
        <v>0.16159999999999999</v>
      </c>
      <c r="W26" s="59">
        <v>0.1583</v>
      </c>
      <c r="X26" s="57">
        <v>0.33650000000000002</v>
      </c>
      <c r="Y26" s="58">
        <v>0.1913</v>
      </c>
      <c r="Z26" s="59">
        <v>0.18079999999999999</v>
      </c>
      <c r="AA26" s="59">
        <v>0.16739999999999999</v>
      </c>
      <c r="AB26" s="59">
        <v>0.1366</v>
      </c>
      <c r="AC26" s="60">
        <v>0.13500000000000001</v>
      </c>
      <c r="AE26" s="55">
        <v>7</v>
      </c>
      <c r="AF26" s="56">
        <v>0.16109999999999999</v>
      </c>
      <c r="AG26" s="59">
        <v>0.15140000000000001</v>
      </c>
      <c r="AH26" s="59">
        <v>0.129</v>
      </c>
      <c r="AI26" s="59">
        <v>0.1242</v>
      </c>
      <c r="AJ26" s="59">
        <v>0.13519999999999999</v>
      </c>
      <c r="AK26" s="59">
        <v>0.1341</v>
      </c>
      <c r="AL26" s="59">
        <v>0.13300000000000001</v>
      </c>
      <c r="AM26" s="57">
        <v>0.30549999999999999</v>
      </c>
      <c r="AN26" s="58">
        <v>0.1593</v>
      </c>
      <c r="AO26" s="59">
        <v>0.15040000000000001</v>
      </c>
      <c r="AP26" s="59">
        <v>0.13619999999999999</v>
      </c>
      <c r="AQ26" s="59">
        <v>0.1232</v>
      </c>
      <c r="AR26" s="60">
        <v>0.1142</v>
      </c>
      <c r="AT26" s="53">
        <v>2</v>
      </c>
      <c r="AU26" s="54">
        <v>11</v>
      </c>
      <c r="AV26" s="54" t="str" cm="1">
        <f t="array" ref="AV26">SUBSTITUTE(INDEX($A$3:$A$15,AT26),"10","T")</f>
        <v>K</v>
      </c>
      <c r="AW26" s="54" t="str" cm="1">
        <f t="array" ref="AW26">SUBSTITUTE(INDEX($B$2:$N$2,AU26),"10","T")</f>
        <v>4</v>
      </c>
      <c r="AX26" s="92" t="str">
        <f t="shared" si="1"/>
        <v>K4s</v>
      </c>
      <c r="AY26" s="67" cm="1">
        <f t="array" ref="AY26">INDEX(starting2players,AT26,AU26)</f>
        <v>0.54530000000000001</v>
      </c>
      <c r="AZ26" s="68" cm="1">
        <f t="array" ref="AZ26">INDEX(starting3players,AT26,AU26)</f>
        <v>0.33589999999999998</v>
      </c>
      <c r="BA26" s="68" cm="1">
        <f t="array" ref="BA26">INDEX(starting4players,AT26,AU26)</f>
        <v>0.25130000000000002</v>
      </c>
      <c r="BB26" s="68" cm="1">
        <f t="array" ref="BB26">INDEX(starting5players,AT26,AU26)</f>
        <v>0.19689999999999999</v>
      </c>
      <c r="BC26" s="68" cm="1">
        <f t="array" ref="BC26">INDEX(starting6players,AT26,AU26)</f>
        <v>0.17419999999999999</v>
      </c>
      <c r="BD26" s="68" cm="1">
        <f t="array" ref="BD26">INDEX(starting7players,AT26,AU26)</f>
        <v>0.1328</v>
      </c>
      <c r="BE26" s="68" cm="1">
        <f t="array" ref="BE26">INDEX(starting8players,AT26,AU26)</f>
        <v>0.1211</v>
      </c>
      <c r="BF26" s="69" cm="1">
        <f t="array" ref="BF26">INDEX(starting9players,AT26,AU26)</f>
        <v>0.11360000000000001</v>
      </c>
    </row>
    <row r="27" spans="1:58" ht="13.5" thickTop="1" thickBot="1">
      <c r="A27" s="55">
        <v>6</v>
      </c>
      <c r="B27" s="56">
        <v>0.24629999999999999</v>
      </c>
      <c r="C27" s="59">
        <v>0.2344</v>
      </c>
      <c r="D27" s="59">
        <v>0.20749999999999999</v>
      </c>
      <c r="E27" s="59">
        <v>0.18790000000000001</v>
      </c>
      <c r="F27" s="59">
        <v>0.19719999999999999</v>
      </c>
      <c r="G27" s="59">
        <v>0.191</v>
      </c>
      <c r="H27" s="59">
        <v>0.1842</v>
      </c>
      <c r="I27" s="59">
        <v>0.188</v>
      </c>
      <c r="J27" s="57">
        <v>0.38069999999999998</v>
      </c>
      <c r="K27" s="58">
        <v>0.21060000000000001</v>
      </c>
      <c r="L27" s="59">
        <v>0.20710000000000001</v>
      </c>
      <c r="M27" s="59">
        <v>0.18729999999999999</v>
      </c>
      <c r="N27" s="60">
        <v>0.1678</v>
      </c>
      <c r="P27" s="55">
        <v>6</v>
      </c>
      <c r="Q27" s="56">
        <v>0.18920000000000001</v>
      </c>
      <c r="R27" s="59">
        <v>0.17499999999999999</v>
      </c>
      <c r="S27" s="59">
        <v>0.15110000000000001</v>
      </c>
      <c r="T27" s="59">
        <v>0.1399</v>
      </c>
      <c r="U27" s="59">
        <v>0.14649999999999999</v>
      </c>
      <c r="V27" s="59">
        <v>0.14729999999999999</v>
      </c>
      <c r="W27" s="59">
        <v>0.15240000000000001</v>
      </c>
      <c r="X27" s="59">
        <v>0.1492</v>
      </c>
      <c r="Y27" s="57">
        <v>0.31950000000000001</v>
      </c>
      <c r="Z27" s="58">
        <v>0.17430000000000001</v>
      </c>
      <c r="AA27" s="59">
        <v>0.1668</v>
      </c>
      <c r="AB27" s="59">
        <v>0.15029999999999999</v>
      </c>
      <c r="AC27" s="60">
        <v>0.1371</v>
      </c>
      <c r="AE27" s="55">
        <v>6</v>
      </c>
      <c r="AF27" s="56">
        <v>0.1522</v>
      </c>
      <c r="AG27" s="59">
        <v>0.13789999999999999</v>
      </c>
      <c r="AH27" s="59">
        <v>0.12280000000000001</v>
      </c>
      <c r="AI27" s="59">
        <v>0.1086</v>
      </c>
      <c r="AJ27" s="59">
        <v>0.1162</v>
      </c>
      <c r="AK27" s="59">
        <v>0.1222</v>
      </c>
      <c r="AL27" s="59">
        <v>0.1193</v>
      </c>
      <c r="AM27" s="59">
        <v>0.12520000000000001</v>
      </c>
      <c r="AN27" s="57">
        <v>0.28220000000000001</v>
      </c>
      <c r="AO27" s="58">
        <v>0.1467</v>
      </c>
      <c r="AP27" s="59">
        <v>0.13689999999999999</v>
      </c>
      <c r="AQ27" s="59">
        <v>0.13100000000000001</v>
      </c>
      <c r="AR27" s="60">
        <v>0.11360000000000001</v>
      </c>
      <c r="AT27" s="70">
        <v>2</v>
      </c>
      <c r="AU27" s="71">
        <v>12</v>
      </c>
      <c r="AV27" s="71" t="str" cm="1">
        <f t="array" ref="AV27">SUBSTITUTE(INDEX($A$3:$A$15,AT27),"10","T")</f>
        <v>K</v>
      </c>
      <c r="AW27" s="71" t="str" cm="1">
        <f t="array" ref="AW27">SUBSTITUTE(INDEX($B$2:$N$2,AU27),"10","T")</f>
        <v>3</v>
      </c>
      <c r="AX27" s="91" t="str">
        <f t="shared" si="1"/>
        <v>K3s</v>
      </c>
      <c r="AY27" s="72" cm="1">
        <f t="array" ref="AY27">INDEX(starting2players,AT27,AU27)</f>
        <v>0.53710000000000002</v>
      </c>
      <c r="AZ27" s="73" cm="1">
        <f t="array" ref="AZ27">INDEX(starting3players,AT27,AU27)</f>
        <v>0.32840000000000003</v>
      </c>
      <c r="BA27" s="73" cm="1">
        <f t="array" ref="BA27">INDEX(starting4players,AT27,AU27)</f>
        <v>0.24859999999999999</v>
      </c>
      <c r="BB27" s="73" cm="1">
        <f t="array" ref="BB27">INDEX(starting5players,AT27,AU27)</f>
        <v>0.19739999999999999</v>
      </c>
      <c r="BC27" s="73" cm="1">
        <f t="array" ref="BC27">INDEX(starting6players,AT27,AU27)</f>
        <v>0.17449999999999999</v>
      </c>
      <c r="BD27" s="73" cm="1">
        <f t="array" ref="BD27">INDEX(starting7players,AT27,AU27)</f>
        <v>0.13009999999999999</v>
      </c>
      <c r="BE27" s="73" cm="1">
        <f t="array" ref="BE27">INDEX(starting8players,AT27,AU27)</f>
        <v>0.12609999999999999</v>
      </c>
      <c r="BF27" s="74" cm="1">
        <f t="array" ref="BF27">INDEX(starting9players,AT27,AU27)</f>
        <v>0.11940000000000001</v>
      </c>
    </row>
    <row r="28" spans="1:58" ht="13.5" thickTop="1" thickBot="1">
      <c r="A28" s="55">
        <v>5</v>
      </c>
      <c r="B28" s="56">
        <v>0.24440000000000001</v>
      </c>
      <c r="C28" s="59">
        <v>0.2114</v>
      </c>
      <c r="D28" s="59">
        <v>0.19700000000000001</v>
      </c>
      <c r="E28" s="59">
        <v>0.1759</v>
      </c>
      <c r="F28" s="59">
        <v>0.16869999999999999</v>
      </c>
      <c r="G28" s="59">
        <v>0.16259999999999999</v>
      </c>
      <c r="H28" s="59">
        <v>0.16669999999999999</v>
      </c>
      <c r="I28" s="59">
        <v>0.17280000000000001</v>
      </c>
      <c r="J28" s="59">
        <v>0.18149999999999999</v>
      </c>
      <c r="K28" s="57">
        <v>0.36580000000000001</v>
      </c>
      <c r="L28" s="58">
        <v>0.20449999999999999</v>
      </c>
      <c r="M28" s="59">
        <v>0.19900000000000001</v>
      </c>
      <c r="N28" s="60">
        <v>0.17</v>
      </c>
      <c r="P28" s="55">
        <v>5</v>
      </c>
      <c r="Q28" s="56">
        <v>0.1865</v>
      </c>
      <c r="R28" s="59">
        <v>0.1694</v>
      </c>
      <c r="S28" s="59">
        <v>0.1482</v>
      </c>
      <c r="T28" s="59">
        <v>0.1308</v>
      </c>
      <c r="U28" s="59">
        <v>0.12570000000000001</v>
      </c>
      <c r="V28" s="59">
        <v>0.12670000000000001</v>
      </c>
      <c r="W28" s="59">
        <v>0.1288</v>
      </c>
      <c r="X28" s="59">
        <v>0.1391</v>
      </c>
      <c r="Y28" s="59">
        <v>0.13789999999999999</v>
      </c>
      <c r="Z28" s="57">
        <v>0.2969</v>
      </c>
      <c r="AA28" s="58">
        <v>0.16059999999999999</v>
      </c>
      <c r="AB28" s="59">
        <v>0.15939999999999999</v>
      </c>
      <c r="AC28" s="60">
        <v>0.14119999999999999</v>
      </c>
      <c r="AE28" s="55">
        <v>5</v>
      </c>
      <c r="AF28" s="56">
        <v>0.1464</v>
      </c>
      <c r="AG28" s="59">
        <v>0.11899999999999999</v>
      </c>
      <c r="AH28" s="59">
        <v>0.11609999999999999</v>
      </c>
      <c r="AI28" s="59">
        <v>0.1053</v>
      </c>
      <c r="AJ28" s="59">
        <v>9.6699999999999994E-2</v>
      </c>
      <c r="AK28" s="59">
        <v>0.1019</v>
      </c>
      <c r="AL28" s="59">
        <v>0.1091</v>
      </c>
      <c r="AM28" s="59">
        <v>0.112</v>
      </c>
      <c r="AN28" s="59">
        <v>0.1077</v>
      </c>
      <c r="AO28" s="57">
        <v>0.26779999999999998</v>
      </c>
      <c r="AP28" s="58">
        <v>0.1489</v>
      </c>
      <c r="AQ28" s="59">
        <v>0.1396</v>
      </c>
      <c r="AR28" s="60">
        <v>0.12659999999999999</v>
      </c>
      <c r="AT28" s="53">
        <v>2</v>
      </c>
      <c r="AU28" s="54">
        <v>13</v>
      </c>
      <c r="AV28" s="54" t="str" cm="1">
        <f t="array" ref="AV28">SUBSTITUTE(INDEX($A$3:$A$15,AT28),"10","T")</f>
        <v>K</v>
      </c>
      <c r="AW28" s="54" t="str" cm="1">
        <f t="array" ref="AW28">SUBSTITUTE(INDEX($B$2:$N$2,AU28),"10","T")</f>
        <v>2</v>
      </c>
      <c r="AX28" s="92" t="str">
        <f t="shared" si="1"/>
        <v>K2s</v>
      </c>
      <c r="AY28" s="67" cm="1">
        <f t="array" ref="AY28">INDEX(starting2players,AT28,AU28)</f>
        <v>0.53369999999999995</v>
      </c>
      <c r="AZ28" s="68" cm="1">
        <f t="array" ref="AZ28">INDEX(starting3players,AT28,AU28)</f>
        <v>0.31740000000000002</v>
      </c>
      <c r="BA28" s="68" cm="1">
        <f t="array" ref="BA28">INDEX(starting4players,AT28,AU28)</f>
        <v>0.2288</v>
      </c>
      <c r="BB28" s="68" cm="1">
        <f t="array" ref="BB28">INDEX(starting5players,AT28,AU28)</f>
        <v>0.18909999999999999</v>
      </c>
      <c r="BC28" s="68" cm="1">
        <f t="array" ref="BC28">INDEX(starting6players,AT28,AU28)</f>
        <v>0.16739999999999999</v>
      </c>
      <c r="BD28" s="68" cm="1">
        <f t="array" ref="BD28">INDEX(starting7players,AT28,AU28)</f>
        <v>0.1241</v>
      </c>
      <c r="BE28" s="68" cm="1">
        <f t="array" ref="BE28">INDEX(starting8players,AT28,AU28)</f>
        <v>0.127</v>
      </c>
      <c r="BF28" s="69" cm="1">
        <f t="array" ref="BF28">INDEX(starting9players,AT28,AU28)</f>
        <v>0.11559999999999999</v>
      </c>
    </row>
    <row r="29" spans="1:58" ht="13.5" thickTop="1" thickBot="1">
      <c r="A29" s="55">
        <v>4</v>
      </c>
      <c r="B29" s="56">
        <v>0.2445</v>
      </c>
      <c r="C29" s="59">
        <v>0.20430000000000001</v>
      </c>
      <c r="D29" s="59">
        <v>0.1835</v>
      </c>
      <c r="E29" s="59">
        <v>0.1739</v>
      </c>
      <c r="F29" s="59">
        <v>0.15959999999999999</v>
      </c>
      <c r="G29" s="59">
        <v>0.1507</v>
      </c>
      <c r="H29" s="59">
        <v>0.151</v>
      </c>
      <c r="I29" s="59">
        <v>0.1497</v>
      </c>
      <c r="J29" s="59">
        <v>0.1618</v>
      </c>
      <c r="K29" s="59">
        <v>0.1719</v>
      </c>
      <c r="L29" s="57">
        <v>0.35360000000000003</v>
      </c>
      <c r="M29" s="58">
        <v>0.1898</v>
      </c>
      <c r="N29" s="60">
        <v>0.1749</v>
      </c>
      <c r="P29" s="55">
        <v>4</v>
      </c>
      <c r="Q29" s="56">
        <v>0.18909999999999999</v>
      </c>
      <c r="R29" s="59">
        <v>0.15679999999999999</v>
      </c>
      <c r="S29" s="59">
        <v>0.14219999999999999</v>
      </c>
      <c r="T29" s="59">
        <v>0.12740000000000001</v>
      </c>
      <c r="U29" s="59">
        <v>0.1237</v>
      </c>
      <c r="V29" s="59">
        <v>0.1084</v>
      </c>
      <c r="W29" s="59">
        <v>0.11409999999999999</v>
      </c>
      <c r="X29" s="59">
        <v>0.12520000000000001</v>
      </c>
      <c r="Y29" s="59">
        <v>0.12809999999999999</v>
      </c>
      <c r="Z29" s="59">
        <v>0.1323</v>
      </c>
      <c r="AA29" s="57">
        <v>0.29859999999999998</v>
      </c>
      <c r="AB29" s="58">
        <v>0.15</v>
      </c>
      <c r="AC29" s="60">
        <v>0.1409</v>
      </c>
      <c r="AE29" s="55">
        <v>4</v>
      </c>
      <c r="AF29" s="56">
        <v>0.1565</v>
      </c>
      <c r="AG29" s="59">
        <v>0.11990000000000001</v>
      </c>
      <c r="AH29" s="59">
        <v>0.10879999999999999</v>
      </c>
      <c r="AI29" s="59">
        <v>0.10199999999999999</v>
      </c>
      <c r="AJ29" s="59">
        <v>9.3100000000000002E-2</v>
      </c>
      <c r="AK29" s="59">
        <v>8.8999999999999996E-2</v>
      </c>
      <c r="AL29" s="59">
        <v>8.9099999999999999E-2</v>
      </c>
      <c r="AM29" s="59">
        <v>9.7199999999999995E-2</v>
      </c>
      <c r="AN29" s="59">
        <v>0.10050000000000001</v>
      </c>
      <c r="AO29" s="59">
        <v>0.10489999999999999</v>
      </c>
      <c r="AP29" s="57">
        <v>0.25840000000000002</v>
      </c>
      <c r="AQ29" s="58">
        <v>0.12670000000000001</v>
      </c>
      <c r="AR29" s="60">
        <v>0.1203</v>
      </c>
      <c r="AT29" s="70">
        <v>3</v>
      </c>
      <c r="AU29" s="71">
        <v>1</v>
      </c>
      <c r="AV29" s="71" t="str" cm="1">
        <f t="array" ref="AV29">SUBSTITUTE(INDEX($A$3:$A$15,AT29),"10","T")</f>
        <v>Q</v>
      </c>
      <c r="AW29" s="71" t="str" cm="1">
        <f t="array" ref="AW29">SUBSTITUTE(INDEX($B$2:$N$2,AU29),"10","T")</f>
        <v>A</v>
      </c>
      <c r="AX29" s="91" t="str">
        <f t="shared" si="1"/>
        <v>AQo</v>
      </c>
      <c r="AY29" s="72" cm="1">
        <f t="array" ref="AY29">INDEX(starting2players,AT29,AU29)</f>
        <v>0.67079999999999995</v>
      </c>
      <c r="AZ29" s="73" cm="1">
        <f t="array" ref="AZ29">INDEX(starting3players,AT29,AU29)</f>
        <v>0.45019999999999999</v>
      </c>
      <c r="BA29" s="73" cm="1">
        <f t="array" ref="BA29">INDEX(starting4players,AT29,AU29)</f>
        <v>0.34339999999999998</v>
      </c>
      <c r="BB29" s="73" cm="1">
        <f t="array" ref="BB29">INDEX(starting5players,AT29,AU29)</f>
        <v>0.2838</v>
      </c>
      <c r="BC29" s="73" cm="1">
        <f t="array" ref="BC29">INDEX(starting6players,AT29,AU29)</f>
        <v>0.23469999999999999</v>
      </c>
      <c r="BD29" s="73" cm="1">
        <f t="array" ref="BD29">INDEX(starting7players,AT29,AU29)</f>
        <v>0.17849999999999999</v>
      </c>
      <c r="BE29" s="73" cm="1">
        <f t="array" ref="BE29">INDEX(starting8players,AT29,AU29)</f>
        <v>0.17230000000000001</v>
      </c>
      <c r="BF29" s="74" cm="1">
        <f t="array" ref="BF29">INDEX(starting9players,AT29,AU29)</f>
        <v>0.1603</v>
      </c>
    </row>
    <row r="30" spans="1:58" ht="13.5" thickTop="1" thickBot="1">
      <c r="A30" s="55">
        <v>3</v>
      </c>
      <c r="B30" s="56">
        <v>0.2485</v>
      </c>
      <c r="C30" s="59">
        <v>0.20660000000000001</v>
      </c>
      <c r="D30" s="59">
        <v>0.1825</v>
      </c>
      <c r="E30" s="59">
        <v>0.16830000000000001</v>
      </c>
      <c r="F30" s="59">
        <v>0.1542</v>
      </c>
      <c r="G30" s="59">
        <v>0.14530000000000001</v>
      </c>
      <c r="H30" s="59">
        <v>0.1409</v>
      </c>
      <c r="I30" s="59">
        <v>0.13980000000000001</v>
      </c>
      <c r="J30" s="59">
        <v>0.1411</v>
      </c>
      <c r="K30" s="59">
        <v>0.1484</v>
      </c>
      <c r="L30" s="59">
        <v>0.13469999999999999</v>
      </c>
      <c r="M30" s="57">
        <v>0.33629999999999999</v>
      </c>
      <c r="N30" s="61">
        <v>0.16189999999999999</v>
      </c>
      <c r="P30" s="55">
        <v>3</v>
      </c>
      <c r="Q30" s="56">
        <v>0.18329999999999999</v>
      </c>
      <c r="R30" s="59">
        <v>0.15620000000000001</v>
      </c>
      <c r="S30" s="59">
        <v>0.14349999999999999</v>
      </c>
      <c r="T30" s="59">
        <v>0.12520000000000001</v>
      </c>
      <c r="U30" s="59">
        <v>0.113</v>
      </c>
      <c r="V30" s="59">
        <v>0.1071</v>
      </c>
      <c r="W30" s="59">
        <v>9.7600000000000006E-2</v>
      </c>
      <c r="X30" s="59">
        <v>9.3200000000000005E-2</v>
      </c>
      <c r="Y30" s="59">
        <v>0.1077</v>
      </c>
      <c r="Z30" s="59">
        <v>0.1207</v>
      </c>
      <c r="AA30" s="59">
        <v>0.10920000000000001</v>
      </c>
      <c r="AB30" s="57">
        <v>0.28660000000000002</v>
      </c>
      <c r="AC30" s="61">
        <v>0.126</v>
      </c>
      <c r="AE30" s="55">
        <v>3</v>
      </c>
      <c r="AF30" s="56">
        <v>0.15110000000000001</v>
      </c>
      <c r="AG30" s="59">
        <v>0.1268</v>
      </c>
      <c r="AH30" s="59">
        <v>0.1057</v>
      </c>
      <c r="AI30" s="59">
        <v>0.1032</v>
      </c>
      <c r="AJ30" s="59">
        <v>9.0899999999999995E-2</v>
      </c>
      <c r="AK30" s="59">
        <v>8.5000000000000006E-2</v>
      </c>
      <c r="AL30" s="59">
        <v>8.1100000000000005E-2</v>
      </c>
      <c r="AM30" s="59">
        <v>7.8E-2</v>
      </c>
      <c r="AN30" s="59">
        <v>8.9499999999999996E-2</v>
      </c>
      <c r="AO30" s="59">
        <v>9.69E-2</v>
      </c>
      <c r="AP30" s="59">
        <v>9.1300000000000006E-2</v>
      </c>
      <c r="AQ30" s="57">
        <v>0.25390000000000001</v>
      </c>
      <c r="AR30" s="61">
        <v>0.1077</v>
      </c>
      <c r="AT30" s="53">
        <v>3</v>
      </c>
      <c r="AU30" s="54">
        <v>2</v>
      </c>
      <c r="AV30" s="54" t="str" cm="1">
        <f t="array" ref="AV30">SUBSTITUTE(INDEX($A$3:$A$15,AT30),"10","T")</f>
        <v>Q</v>
      </c>
      <c r="AW30" s="54" t="str" cm="1">
        <f t="array" ref="AW30">SUBSTITUTE(INDEX($B$2:$N$2,AU30),"10","T")</f>
        <v>K</v>
      </c>
      <c r="AX30" s="92" t="str">
        <f t="shared" si="1"/>
        <v>KQo</v>
      </c>
      <c r="AY30" s="67" cm="1">
        <f t="array" ref="AY30">INDEX(starting2players,AT30,AU30)</f>
        <v>0.63660000000000005</v>
      </c>
      <c r="AZ30" s="68" cm="1">
        <f t="array" ref="AZ30">INDEX(starting3players,AT30,AU30)</f>
        <v>0.4284</v>
      </c>
      <c r="BA30" s="68" cm="1">
        <f t="array" ref="BA30">INDEX(starting4players,AT30,AU30)</f>
        <v>0.32629999999999998</v>
      </c>
      <c r="BB30" s="68" cm="1">
        <f t="array" ref="BB30">INDEX(starting5players,AT30,AU30)</f>
        <v>0.2782</v>
      </c>
      <c r="BC30" s="68" cm="1">
        <f t="array" ref="BC30">INDEX(starting6players,AT30,AU30)</f>
        <v>0.23130000000000001</v>
      </c>
      <c r="BD30" s="68" cm="1">
        <f t="array" ref="BD30">INDEX(starting7players,AT30,AU30)</f>
        <v>0.17599999999999999</v>
      </c>
      <c r="BE30" s="68" cm="1">
        <f t="array" ref="BE30">INDEX(starting8players,AT30,AU30)</f>
        <v>0.17399999999999999</v>
      </c>
      <c r="BF30" s="69" cm="1">
        <f t="array" ref="BF30">INDEX(starting9players,AT30,AU30)</f>
        <v>0.15870000000000001</v>
      </c>
    </row>
    <row r="31" spans="1:58" ht="12.75" thickTop="1">
      <c r="A31" s="62">
        <v>2</v>
      </c>
      <c r="B31" s="63">
        <v>0.23150000000000001</v>
      </c>
      <c r="C31" s="64">
        <v>0.19769999999999999</v>
      </c>
      <c r="D31" s="64">
        <v>0.17810000000000001</v>
      </c>
      <c r="E31" s="64">
        <v>0.16270000000000001</v>
      </c>
      <c r="F31" s="64">
        <v>0.15540000000000001</v>
      </c>
      <c r="G31" s="64">
        <v>0.14050000000000001</v>
      </c>
      <c r="H31" s="64">
        <v>0.13700000000000001</v>
      </c>
      <c r="I31" s="64">
        <v>0.1171</v>
      </c>
      <c r="J31" s="64">
        <v>0.12130000000000001</v>
      </c>
      <c r="K31" s="64">
        <v>0.13300000000000001</v>
      </c>
      <c r="L31" s="64">
        <v>0.12790000000000001</v>
      </c>
      <c r="M31" s="64">
        <v>0.1278</v>
      </c>
      <c r="N31" s="65">
        <v>0.31559999999999999</v>
      </c>
      <c r="P31" s="62">
        <v>2</v>
      </c>
      <c r="Q31" s="63">
        <v>0.17050000000000001</v>
      </c>
      <c r="R31" s="64">
        <v>0.14580000000000001</v>
      </c>
      <c r="S31" s="64">
        <v>0.1409</v>
      </c>
      <c r="T31" s="64">
        <v>0.1222</v>
      </c>
      <c r="U31" s="64">
        <v>0.1086</v>
      </c>
      <c r="V31" s="64">
        <v>0.1007</v>
      </c>
      <c r="W31" s="64">
        <v>9.4799999999999995E-2</v>
      </c>
      <c r="X31" s="64">
        <v>8.5000000000000006E-2</v>
      </c>
      <c r="Y31" s="64">
        <v>9.35E-2</v>
      </c>
      <c r="Z31" s="64">
        <v>0.11070000000000001</v>
      </c>
      <c r="AA31" s="64">
        <v>9.9900000000000003E-2</v>
      </c>
      <c r="AB31" s="64">
        <v>0.09</v>
      </c>
      <c r="AC31" s="65">
        <v>0.2792</v>
      </c>
      <c r="AE31" s="62">
        <v>2</v>
      </c>
      <c r="AF31" s="63">
        <v>0.13950000000000001</v>
      </c>
      <c r="AG31" s="64">
        <v>0.1108</v>
      </c>
      <c r="AH31" s="64">
        <v>0.1072</v>
      </c>
      <c r="AI31" s="64">
        <v>9.9099999999999994E-2</v>
      </c>
      <c r="AJ31" s="64">
        <v>8.7599999999999997E-2</v>
      </c>
      <c r="AK31" s="64">
        <v>8.5999999999999993E-2</v>
      </c>
      <c r="AL31" s="64">
        <v>7.8700000000000006E-2</v>
      </c>
      <c r="AM31" s="64">
        <v>7.0999999999999994E-2</v>
      </c>
      <c r="AN31" s="64">
        <v>7.1999999999999995E-2</v>
      </c>
      <c r="AO31" s="64">
        <v>8.3699999999999997E-2</v>
      </c>
      <c r="AP31" s="64">
        <v>8.4000000000000005E-2</v>
      </c>
      <c r="AQ31" s="64">
        <v>7.3700000000000002E-2</v>
      </c>
      <c r="AR31" s="65">
        <v>0.254</v>
      </c>
      <c r="AT31" s="70">
        <v>3</v>
      </c>
      <c r="AU31" s="71">
        <v>3</v>
      </c>
      <c r="AV31" s="71" t="str" cm="1">
        <f t="array" ref="AV31">SUBSTITUTE(INDEX($A$3:$A$15,AT31),"10","T")</f>
        <v>Q</v>
      </c>
      <c r="AW31" s="71" t="str" cm="1">
        <f t="array" ref="AW31">SUBSTITUTE(INDEX($B$2:$N$2,AU31),"10","T")</f>
        <v>Q</v>
      </c>
      <c r="AX31" s="91" t="str">
        <f t="shared" si="1"/>
        <v>QQ</v>
      </c>
      <c r="AY31" s="72" cm="1">
        <f t="array" ref="AY31">INDEX(starting2players,AT31,AU31)</f>
        <v>0.83440000000000003</v>
      </c>
      <c r="AZ31" s="73" cm="1">
        <f t="array" ref="AZ31">INDEX(starting3players,AT31,AU31)</f>
        <v>0.69189999999999996</v>
      </c>
      <c r="BA31" s="73" cm="1">
        <f t="array" ref="BA31">INDEX(starting4players,AT31,AU31)</f>
        <v>0.56789999999999996</v>
      </c>
      <c r="BB31" s="73" cm="1">
        <f t="array" ref="BB31">INDEX(starting5players,AT31,AU31)</f>
        <v>0.48970000000000002</v>
      </c>
      <c r="BC31" s="73" cm="1">
        <f t="array" ref="BC31">INDEX(starting6players,AT31,AU31)</f>
        <v>0.42970000000000003</v>
      </c>
      <c r="BD31" s="73" cm="1">
        <f t="array" ref="BD31">INDEX(starting7players,AT31,AU31)</f>
        <v>0.37490000000000001</v>
      </c>
      <c r="BE31" s="73" cm="1">
        <f t="array" ref="BE31">INDEX(starting8players,AT31,AU31)</f>
        <v>0.34210000000000002</v>
      </c>
      <c r="BF31" s="74" cm="1">
        <f t="array" ref="BF31">INDEX(starting9players,AT31,AU31)</f>
        <v>0.23369999999999999</v>
      </c>
    </row>
    <row r="32" spans="1:58">
      <c r="AT32" s="53">
        <v>3</v>
      </c>
      <c r="AU32" s="54">
        <v>4</v>
      </c>
      <c r="AV32" s="54" t="str" cm="1">
        <f t="array" ref="AV32">SUBSTITUTE(INDEX($A$3:$A$15,AT32),"10","T")</f>
        <v>Q</v>
      </c>
      <c r="AW32" s="54" t="str" cm="1">
        <f t="array" ref="AW32">SUBSTITUTE(INDEX($B$2:$N$2,AU32),"10","T")</f>
        <v>J</v>
      </c>
      <c r="AX32" s="92" t="str">
        <f t="shared" si="1"/>
        <v>QJs</v>
      </c>
      <c r="AY32" s="67" cm="1">
        <f t="array" ref="AY32">INDEX(starting2players,AT32,AU32)</f>
        <v>0.6169</v>
      </c>
      <c r="AZ32" s="68" cm="1">
        <f t="array" ref="AZ32">INDEX(starting3players,AT32,AU32)</f>
        <v>0.42259999999999998</v>
      </c>
      <c r="BA32" s="68" cm="1">
        <f t="array" ref="BA32">INDEX(starting4players,AT32,AU32)</f>
        <v>0.34660000000000002</v>
      </c>
      <c r="BB32" s="68" cm="1">
        <f t="array" ref="BB32">INDEX(starting5players,AT32,AU32)</f>
        <v>0.29239999999999999</v>
      </c>
      <c r="BC32" s="68" cm="1">
        <f t="array" ref="BC32">INDEX(starting6players,AT32,AU32)</f>
        <v>0.2485</v>
      </c>
      <c r="BD32" s="68" cm="1">
        <f t="array" ref="BD32">INDEX(starting7players,AT32,AU32)</f>
        <v>0.2056</v>
      </c>
      <c r="BE32" s="68" cm="1">
        <f t="array" ref="BE32">INDEX(starting8players,AT32,AU32)</f>
        <v>0.19789999999999999</v>
      </c>
      <c r="BF32" s="69" cm="1">
        <f t="array" ref="BF32">INDEX(starting9players,AT32,AU32)</f>
        <v>0.17080000000000001</v>
      </c>
    </row>
    <row r="33" spans="1:58">
      <c r="A33" s="129" t="s">
        <v>76</v>
      </c>
      <c r="B33" s="129"/>
      <c r="C33" s="129"/>
      <c r="D33" s="129"/>
      <c r="E33" s="129"/>
      <c r="F33" s="129"/>
      <c r="G33" s="129"/>
      <c r="H33" s="129"/>
      <c r="I33" s="129"/>
      <c r="J33" s="129"/>
      <c r="K33" s="129"/>
      <c r="L33" s="129"/>
      <c r="M33" s="129"/>
      <c r="N33" s="129"/>
      <c r="P33" s="129" t="s">
        <v>77</v>
      </c>
      <c r="Q33" s="129"/>
      <c r="R33" s="129"/>
      <c r="S33" s="129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E33" s="129" t="s">
        <v>78</v>
      </c>
      <c r="AF33" s="129"/>
      <c r="AG33" s="129"/>
      <c r="AH33" s="129"/>
      <c r="AI33" s="129"/>
      <c r="AJ33" s="129"/>
      <c r="AK33" s="129"/>
      <c r="AL33" s="129"/>
      <c r="AM33" s="129"/>
      <c r="AN33" s="129"/>
      <c r="AO33" s="129"/>
      <c r="AP33" s="129"/>
      <c r="AQ33" s="129"/>
      <c r="AR33" s="129"/>
      <c r="AT33" s="70">
        <v>3</v>
      </c>
      <c r="AU33" s="71">
        <v>5</v>
      </c>
      <c r="AV33" s="71" t="str" cm="1">
        <f t="array" ref="AV33">SUBSTITUTE(INDEX($A$3:$A$15,AT33),"10","T")</f>
        <v>Q</v>
      </c>
      <c r="AW33" s="71" t="str" cm="1">
        <f t="array" ref="AW33">SUBSTITUTE(INDEX($B$2:$N$2,AU33),"10","T")</f>
        <v>T</v>
      </c>
      <c r="AX33" s="91" t="str">
        <f t="shared" si="1"/>
        <v>QTs</v>
      </c>
      <c r="AY33" s="72" cm="1">
        <f t="array" ref="AY33">INDEX(starting2players,AT33,AU33)</f>
        <v>0.60419999999999996</v>
      </c>
      <c r="AZ33" s="73" cm="1">
        <f t="array" ref="AZ33">INDEX(starting3players,AT33,AU33)</f>
        <v>0.41959999999999997</v>
      </c>
      <c r="BA33" s="73" cm="1">
        <f t="array" ref="BA33">INDEX(starting4players,AT33,AU33)</f>
        <v>0.32440000000000002</v>
      </c>
      <c r="BB33" s="73" cm="1">
        <f t="array" ref="BB33">INDEX(starting5players,AT33,AU33)</f>
        <v>0.26519999999999999</v>
      </c>
      <c r="BC33" s="73" cm="1">
        <f t="array" ref="BC33">INDEX(starting6players,AT33,AU33)</f>
        <v>0.23169999999999999</v>
      </c>
      <c r="BD33" s="73" cm="1">
        <f t="array" ref="BD33">INDEX(starting7players,AT33,AU33)</f>
        <v>0.1961</v>
      </c>
      <c r="BE33" s="73" cm="1">
        <f t="array" ref="BE33">INDEX(starting8players,AT33,AU33)</f>
        <v>0.1787</v>
      </c>
      <c r="BF33" s="74" cm="1">
        <f t="array" ref="BF33">INDEX(starting9players,AT33,AU33)</f>
        <v>0.16930000000000001</v>
      </c>
    </row>
    <row r="34" spans="1:58">
      <c r="A34" s="44"/>
      <c r="B34" s="45" t="s">
        <v>3</v>
      </c>
      <c r="C34" s="46" t="s">
        <v>7</v>
      </c>
      <c r="D34" s="46" t="s">
        <v>6</v>
      </c>
      <c r="E34" s="46" t="s">
        <v>5</v>
      </c>
      <c r="F34" s="46">
        <v>10</v>
      </c>
      <c r="G34" s="46">
        <v>9</v>
      </c>
      <c r="H34" s="46">
        <v>8</v>
      </c>
      <c r="I34" s="46">
        <v>7</v>
      </c>
      <c r="J34" s="46">
        <v>6</v>
      </c>
      <c r="K34" s="46">
        <v>5</v>
      </c>
      <c r="L34" s="46">
        <v>4</v>
      </c>
      <c r="M34" s="46">
        <v>3</v>
      </c>
      <c r="N34" s="47">
        <v>2</v>
      </c>
      <c r="P34" s="44"/>
      <c r="Q34" s="45" t="s">
        <v>3</v>
      </c>
      <c r="R34" s="46" t="s">
        <v>7</v>
      </c>
      <c r="S34" s="46" t="s">
        <v>6</v>
      </c>
      <c r="T34" s="46" t="s">
        <v>5</v>
      </c>
      <c r="U34" s="46">
        <v>10</v>
      </c>
      <c r="V34" s="46">
        <v>9</v>
      </c>
      <c r="W34" s="46">
        <v>8</v>
      </c>
      <c r="X34" s="46">
        <v>7</v>
      </c>
      <c r="Y34" s="46">
        <v>6</v>
      </c>
      <c r="Z34" s="46">
        <v>5</v>
      </c>
      <c r="AA34" s="46">
        <v>4</v>
      </c>
      <c r="AB34" s="46">
        <v>3</v>
      </c>
      <c r="AC34" s="47">
        <v>2</v>
      </c>
      <c r="AE34" s="44"/>
      <c r="AF34" s="45" t="s">
        <v>3</v>
      </c>
      <c r="AG34" s="46" t="s">
        <v>7</v>
      </c>
      <c r="AH34" s="46" t="s">
        <v>6</v>
      </c>
      <c r="AI34" s="46" t="s">
        <v>5</v>
      </c>
      <c r="AJ34" s="46">
        <v>10</v>
      </c>
      <c r="AK34" s="46">
        <v>9</v>
      </c>
      <c r="AL34" s="46">
        <v>8</v>
      </c>
      <c r="AM34" s="46">
        <v>7</v>
      </c>
      <c r="AN34" s="46">
        <v>6</v>
      </c>
      <c r="AO34" s="46">
        <v>5</v>
      </c>
      <c r="AP34" s="46">
        <v>4</v>
      </c>
      <c r="AQ34" s="46">
        <v>3</v>
      </c>
      <c r="AR34" s="47">
        <v>2</v>
      </c>
      <c r="AT34" s="53">
        <v>3</v>
      </c>
      <c r="AU34" s="54">
        <v>6</v>
      </c>
      <c r="AV34" s="54" t="str" cm="1">
        <f t="array" ref="AV34">SUBSTITUTE(INDEX($A$3:$A$15,AT34),"10","T")</f>
        <v>Q</v>
      </c>
      <c r="AW34" s="54" t="str" cm="1">
        <f t="array" ref="AW34">SUBSTITUTE(INDEX($B$2:$N$2,AU34),"10","T")</f>
        <v>9</v>
      </c>
      <c r="AX34" s="92" t="str">
        <f t="shared" si="1"/>
        <v>Q9s</v>
      </c>
      <c r="AY34" s="67" cm="1">
        <f t="array" ref="AY34">INDEX(starting2players,AT34,AU34)</f>
        <v>0.59140000000000004</v>
      </c>
      <c r="AZ34" s="68" cm="1">
        <f t="array" ref="AZ34">INDEX(starting3players,AT34,AU34)</f>
        <v>0.38979999999999998</v>
      </c>
      <c r="BA34" s="68" cm="1">
        <f t="array" ref="BA34">INDEX(starting4players,AT34,AU34)</f>
        <v>0.30559999999999998</v>
      </c>
      <c r="BB34" s="68" cm="1">
        <f t="array" ref="BB34">INDEX(starting5players,AT34,AU34)</f>
        <v>0.2475</v>
      </c>
      <c r="BC34" s="68" cm="1">
        <f t="array" ref="BC34">INDEX(starting6players,AT34,AU34)</f>
        <v>0.2135</v>
      </c>
      <c r="BD34" s="68" cm="1">
        <f t="array" ref="BD34">INDEX(starting7players,AT34,AU34)</f>
        <v>0.16669999999999999</v>
      </c>
      <c r="BE34" s="68" cm="1">
        <f t="array" ref="BE34">INDEX(starting8players,AT34,AU34)</f>
        <v>0.15340000000000001</v>
      </c>
      <c r="BF34" s="69" cm="1">
        <f t="array" ref="BF34">INDEX(starting9players,AT34,AU34)</f>
        <v>0.1487</v>
      </c>
    </row>
    <row r="35" spans="1:58" ht="12.75" thickBot="1">
      <c r="A35" s="48" t="s">
        <v>3</v>
      </c>
      <c r="B35" s="49">
        <v>0.44619999999999999</v>
      </c>
      <c r="C35" s="50">
        <v>0.22700000000000001</v>
      </c>
      <c r="D35" s="51">
        <v>0.21160000000000001</v>
      </c>
      <c r="E35" s="51">
        <v>0.20519999999999999</v>
      </c>
      <c r="F35" s="51">
        <v>0.1928</v>
      </c>
      <c r="G35" s="51">
        <v>0.16639999999999999</v>
      </c>
      <c r="H35" s="51">
        <v>0.15390000000000001</v>
      </c>
      <c r="I35" s="51">
        <v>0.15110000000000001</v>
      </c>
      <c r="J35" s="51">
        <v>0.13950000000000001</v>
      </c>
      <c r="K35" s="51">
        <v>0.15129999999999999</v>
      </c>
      <c r="L35" s="51">
        <v>0.16489999999999999</v>
      </c>
      <c r="M35" s="51">
        <v>0.1414</v>
      </c>
      <c r="N35" s="52">
        <v>0.13320000000000001</v>
      </c>
      <c r="P35" s="48" t="s">
        <v>3</v>
      </c>
      <c r="Q35" s="49">
        <v>0.42370000000000002</v>
      </c>
      <c r="R35" s="50">
        <v>0.23649999999999999</v>
      </c>
      <c r="S35" s="51">
        <v>0.21590000000000001</v>
      </c>
      <c r="T35" s="51">
        <v>0.19309999999999999</v>
      </c>
      <c r="U35" s="51">
        <v>0.18920000000000001</v>
      </c>
      <c r="V35" s="51">
        <v>0.1638</v>
      </c>
      <c r="W35" s="51">
        <v>0.15770000000000001</v>
      </c>
      <c r="X35" s="51">
        <v>0.15079999999999999</v>
      </c>
      <c r="Y35" s="51">
        <v>0.1431</v>
      </c>
      <c r="Z35" s="51">
        <v>0.14910000000000001</v>
      </c>
      <c r="AA35" s="51">
        <v>0.14799999999999999</v>
      </c>
      <c r="AB35" s="51">
        <v>0.14000000000000001</v>
      </c>
      <c r="AC35" s="52">
        <v>0.1356</v>
      </c>
      <c r="AE35" s="48" t="s">
        <v>3</v>
      </c>
      <c r="AF35" s="49">
        <v>0.31659999999999999</v>
      </c>
      <c r="AG35" s="50">
        <v>0.21879999999999999</v>
      </c>
      <c r="AH35" s="51">
        <v>0.20180000000000001</v>
      </c>
      <c r="AI35" s="51">
        <v>0.18709999999999999</v>
      </c>
      <c r="AJ35" s="51">
        <v>0.1769</v>
      </c>
      <c r="AK35" s="51">
        <v>0.1517</v>
      </c>
      <c r="AL35" s="51">
        <v>0.14410000000000001</v>
      </c>
      <c r="AM35" s="51">
        <v>0.1386</v>
      </c>
      <c r="AN35" s="51">
        <v>0.12970000000000001</v>
      </c>
      <c r="AO35" s="51">
        <v>0.13370000000000001</v>
      </c>
      <c r="AP35" s="51">
        <v>0.1366</v>
      </c>
      <c r="AQ35" s="51">
        <v>0.13370000000000001</v>
      </c>
      <c r="AR35" s="52">
        <v>0.12859999999999999</v>
      </c>
      <c r="AT35" s="70">
        <v>3</v>
      </c>
      <c r="AU35" s="71">
        <v>7</v>
      </c>
      <c r="AV35" s="71" t="str" cm="1">
        <f t="array" ref="AV35">SUBSTITUTE(INDEX($A$3:$A$15,AT35),"10","T")</f>
        <v>Q</v>
      </c>
      <c r="AW35" s="71" t="str" cm="1">
        <f t="array" ref="AW35">SUBSTITUTE(INDEX($B$2:$N$2,AU35),"10","T")</f>
        <v>8</v>
      </c>
      <c r="AX35" s="91" t="str">
        <f t="shared" si="1"/>
        <v>Q8s</v>
      </c>
      <c r="AY35" s="72" cm="1">
        <f t="array" ref="AY35">INDEX(starting2players,AT35,AU35)</f>
        <v>0.56440000000000001</v>
      </c>
      <c r="AZ35" s="73" cm="1">
        <f t="array" ref="AZ35">INDEX(starting3players,AT35,AU35)</f>
        <v>0.36130000000000001</v>
      </c>
      <c r="BA35" s="73" cm="1">
        <f t="array" ref="BA35">INDEX(starting4players,AT35,AU35)</f>
        <v>0.26829999999999998</v>
      </c>
      <c r="BB35" s="73" cm="1">
        <f t="array" ref="BB35">INDEX(starting5players,AT35,AU35)</f>
        <v>0.2268</v>
      </c>
      <c r="BC35" s="73" cm="1">
        <f t="array" ref="BC35">INDEX(starting6players,AT35,AU35)</f>
        <v>0.19589999999999999</v>
      </c>
      <c r="BD35" s="73" cm="1">
        <f t="array" ref="BD35">INDEX(starting7players,AT35,AU35)</f>
        <v>0.155</v>
      </c>
      <c r="BE35" s="73" cm="1">
        <f t="array" ref="BE35">INDEX(starting8players,AT35,AU35)</f>
        <v>0.14280000000000001</v>
      </c>
      <c r="BF35" s="74" cm="1">
        <f t="array" ref="BF35">INDEX(starting9players,AT35,AU35)</f>
        <v>0.13439999999999999</v>
      </c>
    </row>
    <row r="36" spans="1:58" ht="13.5" thickTop="1" thickBot="1">
      <c r="A36" s="55" t="s">
        <v>7</v>
      </c>
      <c r="B36" s="56">
        <v>0.2014</v>
      </c>
      <c r="C36" s="57">
        <v>0.41820000000000002</v>
      </c>
      <c r="D36" s="58">
        <v>0.21659999999999999</v>
      </c>
      <c r="E36" s="59">
        <v>0.19750000000000001</v>
      </c>
      <c r="F36" s="59">
        <v>0.19689999999999999</v>
      </c>
      <c r="G36" s="59">
        <v>0.16589999999999999</v>
      </c>
      <c r="H36" s="59">
        <v>0.15060000000000001</v>
      </c>
      <c r="I36" s="59">
        <v>0.14099999999999999</v>
      </c>
      <c r="J36" s="59">
        <v>0.13689999999999999</v>
      </c>
      <c r="K36" s="59">
        <v>0.13159999999999999</v>
      </c>
      <c r="L36" s="59">
        <v>0.1328</v>
      </c>
      <c r="M36" s="59">
        <v>0.13009999999999999</v>
      </c>
      <c r="N36" s="60">
        <v>0.1241</v>
      </c>
      <c r="P36" s="55" t="s">
        <v>7</v>
      </c>
      <c r="Q36" s="56">
        <v>0.19839999999999999</v>
      </c>
      <c r="R36" s="57">
        <v>0.38369999999999999</v>
      </c>
      <c r="S36" s="58">
        <v>0.21510000000000001</v>
      </c>
      <c r="T36" s="59">
        <v>0.19220000000000001</v>
      </c>
      <c r="U36" s="59">
        <v>0.18210000000000001</v>
      </c>
      <c r="V36" s="59">
        <v>0.17</v>
      </c>
      <c r="W36" s="59">
        <v>0.14510000000000001</v>
      </c>
      <c r="X36" s="59">
        <v>0.1361</v>
      </c>
      <c r="Y36" s="59">
        <v>0.1295</v>
      </c>
      <c r="Z36" s="59">
        <v>0.1182</v>
      </c>
      <c r="AA36" s="59">
        <v>0.1211</v>
      </c>
      <c r="AB36" s="59">
        <v>0.12609999999999999</v>
      </c>
      <c r="AC36" s="60">
        <v>0.127</v>
      </c>
      <c r="AE36" s="55" t="s">
        <v>7</v>
      </c>
      <c r="AF36" s="56">
        <v>0.1898</v>
      </c>
      <c r="AG36" s="57">
        <v>0.2702</v>
      </c>
      <c r="AH36" s="58">
        <v>0.1951</v>
      </c>
      <c r="AI36" s="59">
        <v>0.18590000000000001</v>
      </c>
      <c r="AJ36" s="59">
        <v>0.18260000000000001</v>
      </c>
      <c r="AK36" s="59">
        <v>0.152</v>
      </c>
      <c r="AL36" s="59">
        <v>0.13750000000000001</v>
      </c>
      <c r="AM36" s="59">
        <v>0.12770000000000001</v>
      </c>
      <c r="AN36" s="59">
        <v>0.1149</v>
      </c>
      <c r="AO36" s="59">
        <v>0.11409999999999999</v>
      </c>
      <c r="AP36" s="59">
        <v>0.11360000000000001</v>
      </c>
      <c r="AQ36" s="59">
        <v>0.11940000000000001</v>
      </c>
      <c r="AR36" s="60">
        <v>0.11559999999999999</v>
      </c>
      <c r="AT36" s="53">
        <v>3</v>
      </c>
      <c r="AU36" s="54">
        <v>8</v>
      </c>
      <c r="AV36" s="54" t="str" cm="1">
        <f t="array" ref="AV36">SUBSTITUTE(INDEX($A$3:$A$15,AT36),"10","T")</f>
        <v>Q</v>
      </c>
      <c r="AW36" s="54" t="str" cm="1">
        <f t="array" ref="AW36">SUBSTITUTE(INDEX($B$2:$N$2,AU36),"10","T")</f>
        <v>7</v>
      </c>
      <c r="AX36" s="92" t="str">
        <f t="shared" si="1"/>
        <v>Q7s</v>
      </c>
      <c r="AY36" s="67" cm="1">
        <f t="array" ref="AY36">INDEX(starting2players,AT36,AU36)</f>
        <v>0.54149999999999998</v>
      </c>
      <c r="AZ36" s="68" cm="1">
        <f t="array" ref="AZ36">INDEX(starting3players,AT36,AU36)</f>
        <v>0.34379999999999999</v>
      </c>
      <c r="BA36" s="68" cm="1">
        <f t="array" ref="BA36">INDEX(starting4players,AT36,AU36)</f>
        <v>0.2606</v>
      </c>
      <c r="BB36" s="68" cm="1">
        <f t="array" ref="BB36">INDEX(starting5players,AT36,AU36)</f>
        <v>0.20449999999999999</v>
      </c>
      <c r="BC36" s="68" cm="1">
        <f t="array" ref="BC36">INDEX(starting6players,AT36,AU36)</f>
        <v>0.16919999999999999</v>
      </c>
      <c r="BD36" s="68" cm="1">
        <f t="array" ref="BD36">INDEX(starting7players,AT36,AU36)</f>
        <v>0.1293</v>
      </c>
      <c r="BE36" s="68" cm="1">
        <f t="array" ref="BE36">INDEX(starting8players,AT36,AU36)</f>
        <v>0.12379999999999999</v>
      </c>
      <c r="BF36" s="69" cm="1">
        <f t="array" ref="BF36">INDEX(starting9players,AT36,AU36)</f>
        <v>0.1205</v>
      </c>
    </row>
    <row r="37" spans="1:58" ht="13.5" thickTop="1" thickBot="1">
      <c r="A37" s="55" t="s">
        <v>6</v>
      </c>
      <c r="B37" s="56">
        <v>0.17849999999999999</v>
      </c>
      <c r="C37" s="59">
        <v>0.17599999999999999</v>
      </c>
      <c r="D37" s="57">
        <v>0.37490000000000001</v>
      </c>
      <c r="E37" s="58">
        <v>0.2056</v>
      </c>
      <c r="F37" s="59">
        <v>0.1961</v>
      </c>
      <c r="G37" s="59">
        <v>0.16669999999999999</v>
      </c>
      <c r="H37" s="59">
        <v>0.155</v>
      </c>
      <c r="I37" s="59">
        <v>0.1293</v>
      </c>
      <c r="J37" s="59">
        <v>0.12740000000000001</v>
      </c>
      <c r="K37" s="59">
        <v>0.12920000000000001</v>
      </c>
      <c r="L37" s="59">
        <v>0.1208</v>
      </c>
      <c r="M37" s="59">
        <v>0.1158</v>
      </c>
      <c r="N37" s="60">
        <v>0.11650000000000001</v>
      </c>
      <c r="P37" s="55" t="s">
        <v>6</v>
      </c>
      <c r="Q37" s="56">
        <v>0.17230000000000001</v>
      </c>
      <c r="R37" s="59">
        <v>0.17399999999999999</v>
      </c>
      <c r="S37" s="57">
        <v>0.34210000000000002</v>
      </c>
      <c r="T37" s="58">
        <v>0.19789999999999999</v>
      </c>
      <c r="U37" s="59">
        <v>0.1787</v>
      </c>
      <c r="V37" s="59">
        <v>0.15340000000000001</v>
      </c>
      <c r="W37" s="59">
        <v>0.14280000000000001</v>
      </c>
      <c r="X37" s="59">
        <v>0.12379999999999999</v>
      </c>
      <c r="Y37" s="59">
        <v>0.11310000000000001</v>
      </c>
      <c r="Z37" s="59">
        <v>0.1234</v>
      </c>
      <c r="AA37" s="59">
        <v>0.1144</v>
      </c>
      <c r="AB37" s="59">
        <v>0.1125</v>
      </c>
      <c r="AC37" s="60">
        <v>0.1222</v>
      </c>
      <c r="AE37" s="55" t="s">
        <v>6</v>
      </c>
      <c r="AF37" s="56">
        <v>0.1603</v>
      </c>
      <c r="AG37" s="59">
        <v>0.15870000000000001</v>
      </c>
      <c r="AH37" s="57">
        <v>0.23369999999999999</v>
      </c>
      <c r="AI37" s="58">
        <v>0.17080000000000001</v>
      </c>
      <c r="AJ37" s="59">
        <v>0.16930000000000001</v>
      </c>
      <c r="AK37" s="59">
        <v>0.1487</v>
      </c>
      <c r="AL37" s="59">
        <v>0.13439999999999999</v>
      </c>
      <c r="AM37" s="59">
        <v>0.1205</v>
      </c>
      <c r="AN37" s="59">
        <v>0.1104</v>
      </c>
      <c r="AO37" s="59">
        <v>0.10979999999999999</v>
      </c>
      <c r="AP37" s="59">
        <v>0.1046</v>
      </c>
      <c r="AQ37" s="59">
        <v>0.1027</v>
      </c>
      <c r="AR37" s="60">
        <v>0.1105</v>
      </c>
      <c r="AT37" s="70">
        <v>3</v>
      </c>
      <c r="AU37" s="71">
        <v>9</v>
      </c>
      <c r="AV37" s="71" t="str" cm="1">
        <f t="array" ref="AV37">SUBSTITUTE(INDEX($A$3:$A$15,AT37),"10","T")</f>
        <v>Q</v>
      </c>
      <c r="AW37" s="71" t="str" cm="1">
        <f t="array" ref="AW37">SUBSTITUTE(INDEX($B$2:$N$2,AU37),"10","T")</f>
        <v>6</v>
      </c>
      <c r="AX37" s="91" t="str">
        <f t="shared" si="1"/>
        <v>Q6s</v>
      </c>
      <c r="AY37" s="72" cm="1">
        <f t="array" ref="AY37">INDEX(starting2players,AT37,AU37)</f>
        <v>0.53490000000000004</v>
      </c>
      <c r="AZ37" s="73" cm="1">
        <f t="array" ref="AZ37">INDEX(starting3players,AT37,AU37)</f>
        <v>0.33300000000000002</v>
      </c>
      <c r="BA37" s="73" cm="1">
        <f t="array" ref="BA37">INDEX(starting4players,AT37,AU37)</f>
        <v>0.24399999999999999</v>
      </c>
      <c r="BB37" s="73" cm="1">
        <f t="array" ref="BB37">INDEX(starting5players,AT37,AU37)</f>
        <v>0.19819999999999999</v>
      </c>
      <c r="BC37" s="73" cm="1">
        <f t="array" ref="BC37">INDEX(starting6players,AT37,AU37)</f>
        <v>0.1603</v>
      </c>
      <c r="BD37" s="73" cm="1">
        <f t="array" ref="BD37">INDEX(starting7players,AT37,AU37)</f>
        <v>0.12740000000000001</v>
      </c>
      <c r="BE37" s="73" cm="1">
        <f t="array" ref="BE37">INDEX(starting8players,AT37,AU37)</f>
        <v>0.11310000000000001</v>
      </c>
      <c r="BF37" s="74" cm="1">
        <f t="array" ref="BF37">INDEX(starting9players,AT37,AU37)</f>
        <v>0.1104</v>
      </c>
    </row>
    <row r="38" spans="1:58" ht="13.5" thickTop="1" thickBot="1">
      <c r="A38" s="55" t="s">
        <v>5</v>
      </c>
      <c r="B38" s="56">
        <v>0.16289999999999999</v>
      </c>
      <c r="C38" s="59">
        <v>0.16639999999999999</v>
      </c>
      <c r="D38" s="59">
        <v>0.1573</v>
      </c>
      <c r="E38" s="57">
        <v>0.32750000000000001</v>
      </c>
      <c r="F38" s="58">
        <v>0.18770000000000001</v>
      </c>
      <c r="G38" s="59">
        <v>0.16930000000000001</v>
      </c>
      <c r="H38" s="59">
        <v>0.14319999999999999</v>
      </c>
      <c r="I38" s="59">
        <v>0.1263</v>
      </c>
      <c r="J38" s="59">
        <v>0.1181</v>
      </c>
      <c r="K38" s="59">
        <v>0.113</v>
      </c>
      <c r="L38" s="59">
        <v>0.10780000000000001</v>
      </c>
      <c r="M38" s="59">
        <v>9.8699999999999996E-2</v>
      </c>
      <c r="N38" s="60">
        <v>0.1009</v>
      </c>
      <c r="P38" s="55" t="s">
        <v>5</v>
      </c>
      <c r="Q38" s="56">
        <v>0.1583</v>
      </c>
      <c r="R38" s="59">
        <v>0.1598</v>
      </c>
      <c r="S38" s="59">
        <v>0.157</v>
      </c>
      <c r="T38" s="57">
        <v>0.31669999999999998</v>
      </c>
      <c r="U38" s="58">
        <v>0.1875</v>
      </c>
      <c r="V38" s="59">
        <v>0.15570000000000001</v>
      </c>
      <c r="W38" s="59">
        <v>0.1399</v>
      </c>
      <c r="X38" s="59">
        <v>0.12659999999999999</v>
      </c>
      <c r="Y38" s="59">
        <v>0.1109</v>
      </c>
      <c r="Z38" s="59">
        <v>0.1074</v>
      </c>
      <c r="AA38" s="59">
        <v>0.1158</v>
      </c>
      <c r="AB38" s="59">
        <v>0.1038</v>
      </c>
      <c r="AC38" s="60">
        <v>0.1027</v>
      </c>
      <c r="AE38" s="55" t="s">
        <v>5</v>
      </c>
      <c r="AF38" s="56">
        <v>0.15010000000000001</v>
      </c>
      <c r="AG38" s="59">
        <v>0.14940000000000001</v>
      </c>
      <c r="AH38" s="59">
        <v>0.13880000000000001</v>
      </c>
      <c r="AI38" s="57">
        <v>0.1968</v>
      </c>
      <c r="AJ38" s="58">
        <v>0.16420000000000001</v>
      </c>
      <c r="AK38" s="59">
        <v>0.14860000000000001</v>
      </c>
      <c r="AL38" s="59">
        <v>0.1331</v>
      </c>
      <c r="AM38" s="59">
        <v>0.1164</v>
      </c>
      <c r="AN38" s="59">
        <v>0.1012</v>
      </c>
      <c r="AO38" s="59">
        <v>9.6100000000000005E-2</v>
      </c>
      <c r="AP38" s="59">
        <v>0.10290000000000001</v>
      </c>
      <c r="AQ38" s="59">
        <v>9.3100000000000002E-2</v>
      </c>
      <c r="AR38" s="60">
        <v>9.5899999999999999E-2</v>
      </c>
      <c r="AT38" s="53">
        <v>3</v>
      </c>
      <c r="AU38" s="54">
        <v>10</v>
      </c>
      <c r="AV38" s="54" t="str" cm="1">
        <f t="array" ref="AV38">SUBSTITUTE(INDEX($A$3:$A$15,AT38),"10","T")</f>
        <v>Q</v>
      </c>
      <c r="AW38" s="54" t="str" cm="1">
        <f t="array" ref="AW38">SUBSTITUTE(INDEX($B$2:$N$2,AU38),"10","T")</f>
        <v>5</v>
      </c>
      <c r="AX38" s="92" t="str">
        <f t="shared" si="1"/>
        <v>Q5s</v>
      </c>
      <c r="AY38" s="67" cm="1">
        <f t="array" ref="AY38">INDEX(starting2players,AT38,AU38)</f>
        <v>0.52480000000000004</v>
      </c>
      <c r="AZ38" s="68" cm="1">
        <f t="array" ref="AZ38">INDEX(starting3players,AT38,AU38)</f>
        <v>0.32290000000000002</v>
      </c>
      <c r="BA38" s="68" cm="1">
        <f t="array" ref="BA38">INDEX(starting4players,AT38,AU38)</f>
        <v>0.23519999999999999</v>
      </c>
      <c r="BB38" s="68" cm="1">
        <f t="array" ref="BB38">INDEX(starting5players,AT38,AU38)</f>
        <v>0.19159999999999999</v>
      </c>
      <c r="BC38" s="68" cm="1">
        <f t="array" ref="BC38">INDEX(starting6players,AT38,AU38)</f>
        <v>0.15870000000000001</v>
      </c>
      <c r="BD38" s="68" cm="1">
        <f t="array" ref="BD38">INDEX(starting7players,AT38,AU38)</f>
        <v>0.12920000000000001</v>
      </c>
      <c r="BE38" s="68" cm="1">
        <f t="array" ref="BE38">INDEX(starting8players,AT38,AU38)</f>
        <v>0.1234</v>
      </c>
      <c r="BF38" s="69" cm="1">
        <f t="array" ref="BF38">INDEX(starting9players,AT38,AU38)</f>
        <v>0.10979999999999999</v>
      </c>
    </row>
    <row r="39" spans="1:58" ht="13.5" thickTop="1" thickBot="1">
      <c r="A39" s="55">
        <v>10</v>
      </c>
      <c r="B39" s="56">
        <v>0.16569999999999999</v>
      </c>
      <c r="C39" s="59">
        <v>0.16009999999999999</v>
      </c>
      <c r="D39" s="59">
        <v>0.158</v>
      </c>
      <c r="E39" s="59">
        <v>0.16389999999999999</v>
      </c>
      <c r="F39" s="57">
        <v>0.30420000000000003</v>
      </c>
      <c r="G39" s="58">
        <v>0.17</v>
      </c>
      <c r="H39" s="59">
        <v>0.15679999999999999</v>
      </c>
      <c r="I39" s="59">
        <v>0.13969999999999999</v>
      </c>
      <c r="J39" s="59">
        <v>0.1226</v>
      </c>
      <c r="K39" s="59">
        <v>0.1124</v>
      </c>
      <c r="L39" s="59">
        <v>0.1007</v>
      </c>
      <c r="M39" s="59">
        <v>0.1061</v>
      </c>
      <c r="N39" s="60">
        <v>9.5000000000000001E-2</v>
      </c>
      <c r="P39" s="55">
        <v>10</v>
      </c>
      <c r="Q39" s="56">
        <v>0.15790000000000001</v>
      </c>
      <c r="R39" s="59">
        <v>0.15110000000000001</v>
      </c>
      <c r="S39" s="59">
        <v>0.14230000000000001</v>
      </c>
      <c r="T39" s="59">
        <v>0.1404</v>
      </c>
      <c r="U39" s="57">
        <v>0.28100000000000003</v>
      </c>
      <c r="V39" s="58">
        <v>0.1573</v>
      </c>
      <c r="W39" s="59">
        <v>0.14530000000000001</v>
      </c>
      <c r="X39" s="59">
        <v>0.12820000000000001</v>
      </c>
      <c r="Y39" s="59">
        <v>0.1086</v>
      </c>
      <c r="Z39" s="59">
        <v>0.1021</v>
      </c>
      <c r="AA39" s="59">
        <v>9.9900000000000003E-2</v>
      </c>
      <c r="AB39" s="59">
        <v>0.1022</v>
      </c>
      <c r="AC39" s="60">
        <v>9.9400000000000002E-2</v>
      </c>
      <c r="AE39" s="55">
        <v>10</v>
      </c>
      <c r="AF39" s="56">
        <v>0.14319999999999999</v>
      </c>
      <c r="AG39" s="59">
        <v>0.13950000000000001</v>
      </c>
      <c r="AH39" s="59">
        <v>0.13930000000000001</v>
      </c>
      <c r="AI39" s="59">
        <v>0.13450000000000001</v>
      </c>
      <c r="AJ39" s="57">
        <v>0.1757</v>
      </c>
      <c r="AK39" s="58">
        <v>0.1457</v>
      </c>
      <c r="AL39" s="59">
        <v>0.13600000000000001</v>
      </c>
      <c r="AM39" s="59">
        <v>0.12509999999999999</v>
      </c>
      <c r="AN39" s="59">
        <v>0.10630000000000001</v>
      </c>
      <c r="AO39" s="59">
        <v>9.2399999999999996E-2</v>
      </c>
      <c r="AP39" s="59">
        <v>9.5699999999999993E-2</v>
      </c>
      <c r="AQ39" s="59">
        <v>8.5800000000000001E-2</v>
      </c>
      <c r="AR39" s="60">
        <v>8.8200000000000001E-2</v>
      </c>
      <c r="AT39" s="70">
        <v>3</v>
      </c>
      <c r="AU39" s="71">
        <v>11</v>
      </c>
      <c r="AV39" s="71" t="str" cm="1">
        <f t="array" ref="AV39">SUBSTITUTE(INDEX($A$3:$A$15,AT39),"10","T")</f>
        <v>Q</v>
      </c>
      <c r="AW39" s="71" t="str" cm="1">
        <f t="array" ref="AW39">SUBSTITUTE(INDEX($B$2:$N$2,AU39),"10","T")</f>
        <v>4</v>
      </c>
      <c r="AX39" s="91" t="str">
        <f t="shared" si="1"/>
        <v>Q4s</v>
      </c>
      <c r="AY39" s="72" cm="1">
        <f t="array" ref="AY39">INDEX(starting2players,AT39,AU39)</f>
        <v>0.51019999999999999</v>
      </c>
      <c r="AZ39" s="73" cm="1">
        <f t="array" ref="AZ39">INDEX(starting3players,AT39,AU39)</f>
        <v>0.30620000000000003</v>
      </c>
      <c r="BA39" s="73" cm="1">
        <f t="array" ref="BA39">INDEX(starting4players,AT39,AU39)</f>
        <v>0.2339</v>
      </c>
      <c r="BB39" s="73" cm="1">
        <f t="array" ref="BB39">INDEX(starting5players,AT39,AU39)</f>
        <v>0.18820000000000001</v>
      </c>
      <c r="BC39" s="73" cm="1">
        <f t="array" ref="BC39">INDEX(starting6players,AT39,AU39)</f>
        <v>0.1565</v>
      </c>
      <c r="BD39" s="73" cm="1">
        <f t="array" ref="BD39">INDEX(starting7players,AT39,AU39)</f>
        <v>0.1208</v>
      </c>
      <c r="BE39" s="73" cm="1">
        <f t="array" ref="BE39">INDEX(starting8players,AT39,AU39)</f>
        <v>0.1144</v>
      </c>
      <c r="BF39" s="74" cm="1">
        <f t="array" ref="BF39">INDEX(starting9players,AT39,AU39)</f>
        <v>0.1046</v>
      </c>
    </row>
    <row r="40" spans="1:58" ht="13.5" thickTop="1" thickBot="1">
      <c r="A40" s="55">
        <v>9</v>
      </c>
      <c r="B40" s="56">
        <v>0.12859999999999999</v>
      </c>
      <c r="C40" s="59">
        <v>0.1341</v>
      </c>
      <c r="D40" s="59">
        <v>0.1328</v>
      </c>
      <c r="E40" s="59">
        <v>0.13300000000000001</v>
      </c>
      <c r="F40" s="59">
        <v>0.1424</v>
      </c>
      <c r="G40" s="57">
        <v>0.27450000000000002</v>
      </c>
      <c r="H40" s="58">
        <v>0.14649999999999999</v>
      </c>
      <c r="I40" s="59">
        <v>0.14499999999999999</v>
      </c>
      <c r="J40" s="59">
        <v>0.1283</v>
      </c>
      <c r="K40" s="59">
        <v>0.1162</v>
      </c>
      <c r="L40" s="59">
        <v>9.6000000000000002E-2</v>
      </c>
      <c r="M40" s="59">
        <v>9.2399999999999996E-2</v>
      </c>
      <c r="N40" s="60">
        <v>0.10290000000000001</v>
      </c>
      <c r="P40" s="55">
        <v>9</v>
      </c>
      <c r="Q40" s="56">
        <v>0.1244</v>
      </c>
      <c r="R40" s="59">
        <v>0.12959999999999999</v>
      </c>
      <c r="S40" s="59">
        <v>0.12180000000000001</v>
      </c>
      <c r="T40" s="59">
        <v>0.1178</v>
      </c>
      <c r="U40" s="59">
        <v>0.1198</v>
      </c>
      <c r="V40" s="57">
        <v>0.25869999999999999</v>
      </c>
      <c r="W40" s="58">
        <v>0.13669999999999999</v>
      </c>
      <c r="X40" s="59">
        <v>0.125</v>
      </c>
      <c r="Y40" s="59">
        <v>0.106</v>
      </c>
      <c r="Z40" s="59">
        <v>0.10249999999999999</v>
      </c>
      <c r="AA40" s="59">
        <v>8.6099999999999996E-2</v>
      </c>
      <c r="AB40" s="59">
        <v>8.7300000000000003E-2</v>
      </c>
      <c r="AC40" s="60">
        <v>9.0399999999999994E-2</v>
      </c>
      <c r="AE40" s="55">
        <v>9</v>
      </c>
      <c r="AF40" s="56">
        <v>0.1079</v>
      </c>
      <c r="AG40" s="59">
        <v>0.11749999999999999</v>
      </c>
      <c r="AH40" s="59">
        <v>0.1115</v>
      </c>
      <c r="AI40" s="59">
        <v>0.108</v>
      </c>
      <c r="AJ40" s="59">
        <v>0.109</v>
      </c>
      <c r="AK40" s="57">
        <v>0.1535</v>
      </c>
      <c r="AL40" s="58">
        <v>0.12889999999999999</v>
      </c>
      <c r="AM40" s="59">
        <v>0.1211</v>
      </c>
      <c r="AN40" s="59">
        <v>0.1134</v>
      </c>
      <c r="AO40" s="59">
        <v>9.4500000000000001E-2</v>
      </c>
      <c r="AP40" s="59">
        <v>8.1600000000000006E-2</v>
      </c>
      <c r="AQ40" s="59">
        <v>8.7900000000000006E-2</v>
      </c>
      <c r="AR40" s="60">
        <v>8.9399999999999993E-2</v>
      </c>
      <c r="AT40" s="53">
        <v>3</v>
      </c>
      <c r="AU40" s="54">
        <v>12</v>
      </c>
      <c r="AV40" s="54" t="str" cm="1">
        <f t="array" ref="AV40">SUBSTITUTE(INDEX($A$3:$A$15,AT40),"10","T")</f>
        <v>Q</v>
      </c>
      <c r="AW40" s="54" t="str" cm="1">
        <f t="array" ref="AW40">SUBSTITUTE(INDEX($B$2:$N$2,AU40),"10","T")</f>
        <v>3</v>
      </c>
      <c r="AX40" s="92" t="str">
        <f t="shared" si="1"/>
        <v>Q3s</v>
      </c>
      <c r="AY40" s="67" cm="1">
        <f t="array" ref="AY40">INDEX(starting2players,AT40,AU40)</f>
        <v>0.50749999999999995</v>
      </c>
      <c r="AZ40" s="68" cm="1">
        <f t="array" ref="AZ40">INDEX(starting3players,AT40,AU40)</f>
        <v>0.3115</v>
      </c>
      <c r="BA40" s="68" cm="1">
        <f t="array" ref="BA40">INDEX(starting4players,AT40,AU40)</f>
        <v>0.23400000000000001</v>
      </c>
      <c r="BB40" s="68" cm="1">
        <f t="array" ref="BB40">INDEX(starting5players,AT40,AU40)</f>
        <v>0.18679999999999999</v>
      </c>
      <c r="BC40" s="68" cm="1">
        <f t="array" ref="BC40">INDEX(starting6players,AT40,AU40)</f>
        <v>0.16009999999999999</v>
      </c>
      <c r="BD40" s="68" cm="1">
        <f t="array" ref="BD40">INDEX(starting7players,AT40,AU40)</f>
        <v>0.1158</v>
      </c>
      <c r="BE40" s="68" cm="1">
        <f t="array" ref="BE40">INDEX(starting8players,AT40,AU40)</f>
        <v>0.1125</v>
      </c>
      <c r="BF40" s="69" cm="1">
        <f t="array" ref="BF40">INDEX(starting9players,AT40,AU40)</f>
        <v>0.1027</v>
      </c>
    </row>
    <row r="41" spans="1:58" ht="13.5" thickTop="1" thickBot="1">
      <c r="A41" s="55">
        <v>8</v>
      </c>
      <c r="B41" s="56">
        <v>0.1258</v>
      </c>
      <c r="C41" s="59">
        <v>0.1056</v>
      </c>
      <c r="D41" s="59">
        <v>0.10730000000000001</v>
      </c>
      <c r="E41" s="59">
        <v>0.1138</v>
      </c>
      <c r="F41" s="59">
        <v>0.1177</v>
      </c>
      <c r="G41" s="59">
        <v>0.1157</v>
      </c>
      <c r="H41" s="57">
        <v>0.2787</v>
      </c>
      <c r="I41" s="58">
        <v>0.14330000000000001</v>
      </c>
      <c r="J41" s="59">
        <v>0.1237</v>
      </c>
      <c r="K41" s="59">
        <v>0.12570000000000001</v>
      </c>
      <c r="L41" s="59">
        <v>0.1026</v>
      </c>
      <c r="M41" s="59">
        <v>9.0499999999999997E-2</v>
      </c>
      <c r="N41" s="60">
        <v>8.5800000000000001E-2</v>
      </c>
      <c r="P41" s="55">
        <v>8</v>
      </c>
      <c r="Q41" s="56">
        <v>0.11550000000000001</v>
      </c>
      <c r="R41" s="59">
        <v>0.1079</v>
      </c>
      <c r="S41" s="59">
        <v>0.108</v>
      </c>
      <c r="T41" s="59">
        <v>0.10539999999999999</v>
      </c>
      <c r="U41" s="59">
        <v>0.1061</v>
      </c>
      <c r="V41" s="59">
        <v>9.7199999999999995E-2</v>
      </c>
      <c r="W41" s="57">
        <v>0.24099999999999999</v>
      </c>
      <c r="X41" s="58">
        <v>0.1249</v>
      </c>
      <c r="Y41" s="59">
        <v>0.1166</v>
      </c>
      <c r="Z41" s="59">
        <v>0.10929999999999999</v>
      </c>
      <c r="AA41" s="59">
        <v>9.9599999999999994E-2</v>
      </c>
      <c r="AB41" s="59">
        <v>8.6800000000000002E-2</v>
      </c>
      <c r="AC41" s="60">
        <v>8.3099999999999993E-2</v>
      </c>
      <c r="AE41" s="55">
        <v>8</v>
      </c>
      <c r="AF41" s="56">
        <v>0.1031</v>
      </c>
      <c r="AG41" s="59">
        <v>9.0200000000000002E-2</v>
      </c>
      <c r="AH41" s="59">
        <v>8.4099999999999994E-2</v>
      </c>
      <c r="AI41" s="59">
        <v>8.9399999999999993E-2</v>
      </c>
      <c r="AJ41" s="59">
        <v>9.4799999999999995E-2</v>
      </c>
      <c r="AK41" s="59">
        <v>8.7499999999999994E-2</v>
      </c>
      <c r="AL41" s="57">
        <v>0.1487</v>
      </c>
      <c r="AM41" s="58">
        <v>0.1217</v>
      </c>
      <c r="AN41" s="59">
        <v>0.1159</v>
      </c>
      <c r="AO41" s="59">
        <v>0.1041</v>
      </c>
      <c r="AP41" s="59">
        <v>9.2100000000000001E-2</v>
      </c>
      <c r="AQ41" s="59">
        <v>8.4699999999999998E-2</v>
      </c>
      <c r="AR41" s="60">
        <v>8.0299999999999996E-2</v>
      </c>
      <c r="AT41" s="70">
        <v>3</v>
      </c>
      <c r="AU41" s="71">
        <v>13</v>
      </c>
      <c r="AV41" s="71" t="str" cm="1">
        <f t="array" ref="AV41">SUBSTITUTE(INDEX($A$3:$A$15,AT41),"10","T")</f>
        <v>Q</v>
      </c>
      <c r="AW41" s="71" t="str" cm="1">
        <f t="array" ref="AW41">SUBSTITUTE(INDEX($B$2:$N$2,AU41),"10","T")</f>
        <v>2</v>
      </c>
      <c r="AX41" s="91" t="str">
        <f t="shared" si="1"/>
        <v>Q2s</v>
      </c>
      <c r="AY41" s="72" cm="1">
        <f t="array" ref="AY41">INDEX(starting2players,AT41,AU41)</f>
        <v>0.50290000000000001</v>
      </c>
      <c r="AZ41" s="73" cm="1">
        <f t="array" ref="AZ41">INDEX(starting3players,AT41,AU41)</f>
        <v>0.2979</v>
      </c>
      <c r="BA41" s="73" cm="1">
        <f t="array" ref="BA41">INDEX(starting4players,AT41,AU41)</f>
        <v>0.22839999999999999</v>
      </c>
      <c r="BB41" s="73" cm="1">
        <f t="array" ref="BB41">INDEX(starting5players,AT41,AU41)</f>
        <v>0.1817</v>
      </c>
      <c r="BC41" s="73" cm="1">
        <f t="array" ref="BC41">INDEX(starting6players,AT41,AU41)</f>
        <v>0.15640000000000001</v>
      </c>
      <c r="BD41" s="73" cm="1">
        <f t="array" ref="BD41">INDEX(starting7players,AT41,AU41)</f>
        <v>0.11650000000000001</v>
      </c>
      <c r="BE41" s="73" cm="1">
        <f t="array" ref="BE41">INDEX(starting8players,AT41,AU41)</f>
        <v>0.1222</v>
      </c>
      <c r="BF41" s="74" cm="1">
        <f t="array" ref="BF41">INDEX(starting9players,AT41,AU41)</f>
        <v>0.1105</v>
      </c>
    </row>
    <row r="42" spans="1:58" ht="13.5" thickTop="1" thickBot="1">
      <c r="A42" s="55">
        <v>7</v>
      </c>
      <c r="B42" s="56">
        <v>0.11650000000000001</v>
      </c>
      <c r="C42" s="59">
        <v>0.1065</v>
      </c>
      <c r="D42" s="59">
        <v>9.3799999999999994E-2</v>
      </c>
      <c r="E42" s="59">
        <v>9.9000000000000005E-2</v>
      </c>
      <c r="F42" s="59">
        <v>0.1043</v>
      </c>
      <c r="G42" s="59">
        <v>0.1052</v>
      </c>
      <c r="H42" s="59">
        <v>0.1079</v>
      </c>
      <c r="I42" s="57">
        <v>0.25319999999999998</v>
      </c>
      <c r="J42" s="58">
        <v>0.13170000000000001</v>
      </c>
      <c r="K42" s="59">
        <v>0.12330000000000001</v>
      </c>
      <c r="L42" s="59">
        <v>0.11219999999999999</v>
      </c>
      <c r="M42" s="59">
        <v>9.8900000000000002E-2</v>
      </c>
      <c r="N42" s="60">
        <v>7.7899999999999997E-2</v>
      </c>
      <c r="P42" s="55">
        <v>7</v>
      </c>
      <c r="Q42" s="56">
        <v>0.1043</v>
      </c>
      <c r="R42" s="59">
        <v>0.1004</v>
      </c>
      <c r="S42" s="59">
        <v>8.5500000000000007E-2</v>
      </c>
      <c r="T42" s="59">
        <v>8.1900000000000001E-2</v>
      </c>
      <c r="U42" s="59">
        <v>9.4E-2</v>
      </c>
      <c r="V42" s="59">
        <v>8.9599999999999999E-2</v>
      </c>
      <c r="W42" s="59">
        <v>9.2399999999999996E-2</v>
      </c>
      <c r="X42" s="57">
        <v>0.24079999999999999</v>
      </c>
      <c r="Y42" s="58">
        <v>0.1237</v>
      </c>
      <c r="Z42" s="59">
        <v>0.1082</v>
      </c>
      <c r="AA42" s="59">
        <v>0.1065</v>
      </c>
      <c r="AB42" s="59">
        <v>9.11E-2</v>
      </c>
      <c r="AC42" s="60">
        <v>8.1500000000000003E-2</v>
      </c>
      <c r="AE42" s="55">
        <v>7</v>
      </c>
      <c r="AF42" s="56">
        <v>8.9300000000000004E-2</v>
      </c>
      <c r="AG42" s="59">
        <v>8.8200000000000001E-2</v>
      </c>
      <c r="AH42" s="59">
        <v>7.2900000000000006E-2</v>
      </c>
      <c r="AI42" s="59">
        <v>7.2599999999999998E-2</v>
      </c>
      <c r="AJ42" s="59">
        <v>7.9500000000000001E-2</v>
      </c>
      <c r="AK42" s="59">
        <v>8.5999999999999993E-2</v>
      </c>
      <c r="AL42" s="59">
        <v>8.3799999999999999E-2</v>
      </c>
      <c r="AM42" s="57">
        <v>0.13289999999999999</v>
      </c>
      <c r="AN42" s="58">
        <v>0.1153</v>
      </c>
      <c r="AO42" s="59">
        <v>0.1108</v>
      </c>
      <c r="AP42" s="59">
        <v>0.10340000000000001</v>
      </c>
      <c r="AQ42" s="59">
        <v>8.7300000000000003E-2</v>
      </c>
      <c r="AR42" s="60">
        <v>8.0699999999999994E-2</v>
      </c>
      <c r="AT42" s="53">
        <v>4</v>
      </c>
      <c r="AU42" s="54">
        <v>1</v>
      </c>
      <c r="AV42" s="54" t="str" cm="1">
        <f t="array" ref="AV42">SUBSTITUTE(INDEX($A$3:$A$15,AT42),"10","T")</f>
        <v>J</v>
      </c>
      <c r="AW42" s="54" t="str" cm="1">
        <f t="array" ref="AW42">SUBSTITUTE(INDEX($B$2:$N$2,AU42),"10","T")</f>
        <v>A</v>
      </c>
      <c r="AX42" s="92" t="str">
        <f t="shared" si="1"/>
        <v>AJo</v>
      </c>
      <c r="AY42" s="67" cm="1">
        <f t="array" ref="AY42">INDEX(starting2players,AT42,AU42)</f>
        <v>0.65590000000000004</v>
      </c>
      <c r="AZ42" s="68" cm="1">
        <f t="array" ref="AZ42">INDEX(starting3players,AT42,AU42)</f>
        <v>0.43340000000000001</v>
      </c>
      <c r="BA42" s="68" cm="1">
        <f t="array" ref="BA42">INDEX(starting4players,AT42,AU42)</f>
        <v>0.33239999999999997</v>
      </c>
      <c r="BB42" s="68" cm="1">
        <f t="array" ref="BB42">INDEX(starting5players,AT42,AU42)</f>
        <v>0.26379999999999998</v>
      </c>
      <c r="BC42" s="68" cm="1">
        <f t="array" ref="BC42">INDEX(starting6players,AT42,AU42)</f>
        <v>0.22159999999999999</v>
      </c>
      <c r="BD42" s="68" cm="1">
        <f t="array" ref="BD42">INDEX(starting7players,AT42,AU42)</f>
        <v>0.16289999999999999</v>
      </c>
      <c r="BE42" s="68" cm="1">
        <f t="array" ref="BE42">INDEX(starting8players,AT42,AU42)</f>
        <v>0.1583</v>
      </c>
      <c r="BF42" s="69" cm="1">
        <f t="array" ref="BF42">INDEX(starting9players,AT42,AU42)</f>
        <v>0.15010000000000001</v>
      </c>
    </row>
    <row r="43" spans="1:58" ht="13.5" thickTop="1" thickBot="1">
      <c r="A43" s="55">
        <v>6</v>
      </c>
      <c r="B43" s="56">
        <v>0.1067</v>
      </c>
      <c r="C43" s="59">
        <v>9.5200000000000007E-2</v>
      </c>
      <c r="D43" s="59">
        <v>8.5999999999999993E-2</v>
      </c>
      <c r="E43" s="59">
        <v>8.4599999999999995E-2</v>
      </c>
      <c r="F43" s="59">
        <v>7.8600000000000003E-2</v>
      </c>
      <c r="G43" s="59">
        <v>8.9700000000000002E-2</v>
      </c>
      <c r="H43" s="59">
        <v>9.6100000000000005E-2</v>
      </c>
      <c r="I43" s="59">
        <v>9.8100000000000007E-2</v>
      </c>
      <c r="J43" s="57">
        <v>0.2515</v>
      </c>
      <c r="K43" s="58">
        <v>0.13170000000000001</v>
      </c>
      <c r="L43" s="59">
        <v>0.11509999999999999</v>
      </c>
      <c r="M43" s="59">
        <v>0.1061</v>
      </c>
      <c r="N43" s="60">
        <v>9.5200000000000007E-2</v>
      </c>
      <c r="P43" s="55">
        <v>6</v>
      </c>
      <c r="Q43" s="56">
        <v>9.0300000000000005E-2</v>
      </c>
      <c r="R43" s="59">
        <v>8.8400000000000006E-2</v>
      </c>
      <c r="S43" s="59">
        <v>7.5399999999999995E-2</v>
      </c>
      <c r="T43" s="59">
        <v>6.3700000000000007E-2</v>
      </c>
      <c r="U43" s="59">
        <v>7.0800000000000002E-2</v>
      </c>
      <c r="V43" s="59">
        <v>7.5300000000000006E-2</v>
      </c>
      <c r="W43" s="59">
        <v>7.6799999999999993E-2</v>
      </c>
      <c r="X43" s="59">
        <v>7.8600000000000003E-2</v>
      </c>
      <c r="Y43" s="57">
        <v>0.22059999999999999</v>
      </c>
      <c r="Z43" s="58">
        <v>0.1147</v>
      </c>
      <c r="AA43" s="59">
        <v>0.1116</v>
      </c>
      <c r="AB43" s="59">
        <v>9.7699999999999995E-2</v>
      </c>
      <c r="AC43" s="60">
        <v>8.5900000000000004E-2</v>
      </c>
      <c r="AE43" s="55">
        <v>6</v>
      </c>
      <c r="AF43" s="56">
        <v>9.2100000000000001E-2</v>
      </c>
      <c r="AG43" s="59">
        <v>8.1500000000000003E-2</v>
      </c>
      <c r="AH43" s="59">
        <v>6.9900000000000004E-2</v>
      </c>
      <c r="AI43" s="59">
        <v>6.1199999999999997E-2</v>
      </c>
      <c r="AJ43" s="59">
        <v>6.4600000000000005E-2</v>
      </c>
      <c r="AK43" s="59">
        <v>6.9099999999999995E-2</v>
      </c>
      <c r="AL43" s="59">
        <v>7.3999999999999996E-2</v>
      </c>
      <c r="AM43" s="59">
        <v>7.0400000000000004E-2</v>
      </c>
      <c r="AN43" s="57">
        <v>0.12870000000000001</v>
      </c>
      <c r="AO43" s="58">
        <v>0.1018</v>
      </c>
      <c r="AP43" s="59">
        <v>0.10589999999999999</v>
      </c>
      <c r="AQ43" s="59">
        <v>9.8000000000000004E-2</v>
      </c>
      <c r="AR43" s="60">
        <v>8.43E-2</v>
      </c>
      <c r="AT43" s="70">
        <v>4</v>
      </c>
      <c r="AU43" s="71">
        <v>2</v>
      </c>
      <c r="AV43" s="71" t="str" cm="1">
        <f t="array" ref="AV43">SUBSTITUTE(INDEX($A$3:$A$15,AT43),"10","T")</f>
        <v>J</v>
      </c>
      <c r="AW43" s="71" t="str" cm="1">
        <f t="array" ref="AW43">SUBSTITUTE(INDEX($B$2:$N$2,AU43),"10","T")</f>
        <v>K</v>
      </c>
      <c r="AX43" s="91" t="str">
        <f t="shared" si="1"/>
        <v>KJo</v>
      </c>
      <c r="AY43" s="72" cm="1">
        <f t="array" ref="AY43">INDEX(starting2players,AT43,AU43)</f>
        <v>0.62360000000000004</v>
      </c>
      <c r="AZ43" s="73" cm="1">
        <f t="array" ref="AZ43">INDEX(starting3players,AT43,AU43)</f>
        <v>0.42480000000000001</v>
      </c>
      <c r="BA43" s="73" cm="1">
        <f t="array" ref="BA43">INDEX(starting4players,AT43,AU43)</f>
        <v>0.31879999999999997</v>
      </c>
      <c r="BB43" s="73" cm="1">
        <f t="array" ref="BB43">INDEX(starting5players,AT43,AU43)</f>
        <v>0.25269999999999998</v>
      </c>
      <c r="BC43" s="73" cm="1">
        <f t="array" ref="BC43">INDEX(starting6players,AT43,AU43)</f>
        <v>0.21229999999999999</v>
      </c>
      <c r="BD43" s="73" cm="1">
        <f t="array" ref="BD43">INDEX(starting7players,AT43,AU43)</f>
        <v>0.16639999999999999</v>
      </c>
      <c r="BE43" s="73" cm="1">
        <f t="array" ref="BE43">INDEX(starting8players,AT43,AU43)</f>
        <v>0.1598</v>
      </c>
      <c r="BF43" s="74" cm="1">
        <f t="array" ref="BF43">INDEX(starting9players,AT43,AU43)</f>
        <v>0.14940000000000001</v>
      </c>
    </row>
    <row r="44" spans="1:58" ht="13.5" thickTop="1" thickBot="1">
      <c r="A44" s="55">
        <v>5</v>
      </c>
      <c r="B44" s="56">
        <v>0.1174</v>
      </c>
      <c r="C44" s="59">
        <v>8.8300000000000003E-2</v>
      </c>
      <c r="D44" s="59">
        <v>8.0500000000000002E-2</v>
      </c>
      <c r="E44" s="59">
        <v>7.4099999999999999E-2</v>
      </c>
      <c r="F44" s="59">
        <v>7.2999999999999995E-2</v>
      </c>
      <c r="G44" s="59">
        <v>7.6200000000000004E-2</v>
      </c>
      <c r="H44" s="59">
        <v>8.4599999999999995E-2</v>
      </c>
      <c r="I44" s="59">
        <v>8.6599999999999996E-2</v>
      </c>
      <c r="J44" s="59">
        <v>9.4700000000000006E-2</v>
      </c>
      <c r="K44" s="57">
        <v>0.23380000000000001</v>
      </c>
      <c r="L44" s="58">
        <v>0.112</v>
      </c>
      <c r="M44" s="59">
        <v>0.1115</v>
      </c>
      <c r="N44" s="60">
        <v>0.1016</v>
      </c>
      <c r="P44" s="55">
        <v>5</v>
      </c>
      <c r="Q44" s="56">
        <v>0.1014</v>
      </c>
      <c r="R44" s="59">
        <v>8.7999999999999995E-2</v>
      </c>
      <c r="S44" s="59">
        <v>7.5700000000000003E-2</v>
      </c>
      <c r="T44" s="59">
        <v>6.3E-2</v>
      </c>
      <c r="U44" s="59">
        <v>6.1600000000000002E-2</v>
      </c>
      <c r="V44" s="59">
        <v>5.9900000000000002E-2</v>
      </c>
      <c r="W44" s="59">
        <v>6.9000000000000006E-2</v>
      </c>
      <c r="X44" s="59">
        <v>7.8E-2</v>
      </c>
      <c r="Y44" s="59">
        <v>8.1699999999999995E-2</v>
      </c>
      <c r="Z44" s="57">
        <v>0.22869999999999999</v>
      </c>
      <c r="AA44" s="58">
        <v>0.1162</v>
      </c>
      <c r="AB44" s="59">
        <v>0.10489999999999999</v>
      </c>
      <c r="AC44" s="60">
        <v>9.3100000000000002E-2</v>
      </c>
      <c r="AE44" s="55">
        <v>5</v>
      </c>
      <c r="AF44" s="56">
        <v>9.5399999999999999E-2</v>
      </c>
      <c r="AG44" s="59">
        <v>7.3899999999999993E-2</v>
      </c>
      <c r="AH44" s="59">
        <v>6.4000000000000001E-2</v>
      </c>
      <c r="AI44" s="59">
        <v>5.5500000000000001E-2</v>
      </c>
      <c r="AJ44" s="59">
        <v>5.1200000000000002E-2</v>
      </c>
      <c r="AK44" s="59">
        <v>5.0700000000000002E-2</v>
      </c>
      <c r="AL44" s="59">
        <v>6.4899999999999999E-2</v>
      </c>
      <c r="AM44" s="59">
        <v>7.1499999999999994E-2</v>
      </c>
      <c r="AN44" s="59">
        <v>6.88E-2</v>
      </c>
      <c r="AO44" s="57">
        <v>0.11799999999999999</v>
      </c>
      <c r="AP44" s="58">
        <v>0.111</v>
      </c>
      <c r="AQ44" s="59">
        <v>9.69E-2</v>
      </c>
      <c r="AR44" s="60">
        <v>9.3700000000000006E-2</v>
      </c>
      <c r="AT44" s="53">
        <v>4</v>
      </c>
      <c r="AU44" s="54">
        <v>3</v>
      </c>
      <c r="AV44" s="54" t="str" cm="1">
        <f t="array" ref="AV44">SUBSTITUTE(INDEX($A$3:$A$15,AT44),"10","T")</f>
        <v>J</v>
      </c>
      <c r="AW44" s="54" t="str" cm="1">
        <f t="array" ref="AW44">SUBSTITUTE(INDEX($B$2:$N$2,AU44),"10","T")</f>
        <v>Q</v>
      </c>
      <c r="AX44" s="92" t="str">
        <f t="shared" si="1"/>
        <v>QJo</v>
      </c>
      <c r="AY44" s="67" cm="1">
        <f t="array" ref="AY44">INDEX(starting2players,AT44,AU44)</f>
        <v>0.59550000000000003</v>
      </c>
      <c r="AZ44" s="68" cm="1">
        <f t="array" ref="AZ44">INDEX(starting3players,AT44,AU44)</f>
        <v>0.39579999999999999</v>
      </c>
      <c r="BA44" s="68" cm="1">
        <f t="array" ref="BA44">INDEX(starting4players,AT44,AU44)</f>
        <v>0.29599999999999999</v>
      </c>
      <c r="BB44" s="68" cm="1">
        <f t="array" ref="BB44">INDEX(starting5players,AT44,AU44)</f>
        <v>0.24709999999999999</v>
      </c>
      <c r="BC44" s="68" cm="1">
        <f t="array" ref="BC44">INDEX(starting6players,AT44,AU44)</f>
        <v>0.22170000000000001</v>
      </c>
      <c r="BD44" s="68" cm="1">
        <f t="array" ref="BD44">INDEX(starting7players,AT44,AU44)</f>
        <v>0.1573</v>
      </c>
      <c r="BE44" s="68" cm="1">
        <f t="array" ref="BE44">INDEX(starting8players,AT44,AU44)</f>
        <v>0.157</v>
      </c>
      <c r="BF44" s="69" cm="1">
        <f t="array" ref="BF44">INDEX(starting9players,AT44,AU44)</f>
        <v>0.13880000000000001</v>
      </c>
    </row>
    <row r="45" spans="1:58" ht="13.5" thickTop="1" thickBot="1">
      <c r="A45" s="55">
        <v>4</v>
      </c>
      <c r="B45" s="56">
        <v>0.10879999999999999</v>
      </c>
      <c r="C45" s="59">
        <v>8.5699999999999998E-2</v>
      </c>
      <c r="D45" s="59">
        <v>7.5600000000000001E-2</v>
      </c>
      <c r="E45" s="59">
        <v>6.5799999999999997E-2</v>
      </c>
      <c r="F45" s="59">
        <v>6.6799999999999998E-2</v>
      </c>
      <c r="G45" s="59">
        <v>5.7599999999999998E-2</v>
      </c>
      <c r="H45" s="59">
        <v>6.8699999999999997E-2</v>
      </c>
      <c r="I45" s="59">
        <v>7.9200000000000007E-2</v>
      </c>
      <c r="J45" s="59">
        <v>7.8200000000000006E-2</v>
      </c>
      <c r="K45" s="59">
        <v>8.6800000000000002E-2</v>
      </c>
      <c r="L45" s="57">
        <v>0.2321</v>
      </c>
      <c r="M45" s="58">
        <v>0.10639999999999999</v>
      </c>
      <c r="N45" s="60">
        <v>9.5100000000000004E-2</v>
      </c>
      <c r="P45" s="55">
        <v>4</v>
      </c>
      <c r="Q45" s="56">
        <v>9.9199999999999997E-2</v>
      </c>
      <c r="R45" s="59">
        <v>7.8100000000000003E-2</v>
      </c>
      <c r="S45" s="59">
        <v>6.7799999999999999E-2</v>
      </c>
      <c r="T45" s="59">
        <v>6.5199999999999994E-2</v>
      </c>
      <c r="U45" s="59">
        <v>5.9799999999999999E-2</v>
      </c>
      <c r="V45" s="59">
        <v>5.3999999999999999E-2</v>
      </c>
      <c r="W45" s="59">
        <v>5.5100000000000003E-2</v>
      </c>
      <c r="X45" s="59">
        <v>6.8199999999999997E-2</v>
      </c>
      <c r="Y45" s="59">
        <v>6.7599999999999993E-2</v>
      </c>
      <c r="Z45" s="59">
        <v>7.3700000000000002E-2</v>
      </c>
      <c r="AA45" s="57">
        <v>0.2117</v>
      </c>
      <c r="AB45" s="58">
        <v>0.1007</v>
      </c>
      <c r="AC45" s="60">
        <v>9.4299999999999995E-2</v>
      </c>
      <c r="AE45" s="55">
        <v>4</v>
      </c>
      <c r="AF45" s="56">
        <v>9.0800000000000006E-2</v>
      </c>
      <c r="AG45" s="59">
        <v>7.0099999999999996E-2</v>
      </c>
      <c r="AH45" s="59">
        <v>6.7100000000000007E-2</v>
      </c>
      <c r="AI45" s="59">
        <v>5.2900000000000003E-2</v>
      </c>
      <c r="AJ45" s="59">
        <v>4.9200000000000001E-2</v>
      </c>
      <c r="AK45" s="59">
        <v>4.7100000000000003E-2</v>
      </c>
      <c r="AL45" s="59">
        <v>4.82E-2</v>
      </c>
      <c r="AM45" s="59">
        <v>6.5000000000000002E-2</v>
      </c>
      <c r="AN45" s="59">
        <v>6.4799999999999996E-2</v>
      </c>
      <c r="AO45" s="59">
        <v>6.7799999999999999E-2</v>
      </c>
      <c r="AP45" s="57">
        <v>0.1203</v>
      </c>
      <c r="AQ45" s="58">
        <v>9.3799999999999994E-2</v>
      </c>
      <c r="AR45" s="60">
        <v>9.0499999999999997E-2</v>
      </c>
      <c r="AT45" s="70">
        <v>4</v>
      </c>
      <c r="AU45" s="71">
        <v>4</v>
      </c>
      <c r="AV45" s="71" t="str" cm="1">
        <f t="array" ref="AV45">SUBSTITUTE(INDEX($A$3:$A$15,AT45),"10","T")</f>
        <v>J</v>
      </c>
      <c r="AW45" s="71" t="str" cm="1">
        <f t="array" ref="AW45">SUBSTITUTE(INDEX($B$2:$N$2,AU45),"10","T")</f>
        <v>J</v>
      </c>
      <c r="AX45" s="91" t="str">
        <f t="shared" si="1"/>
        <v>JJ</v>
      </c>
      <c r="AY45" s="72" cm="1">
        <f t="array" ref="AY45">INDEX(starting2players,AT45,AU45)</f>
        <v>0.81279999999999997</v>
      </c>
      <c r="AZ45" s="73" cm="1">
        <f t="array" ref="AZ45">INDEX(starting3players,AT45,AU45)</f>
        <v>0.65239999999999998</v>
      </c>
      <c r="BA45" s="73" cm="1">
        <f t="array" ref="BA45">INDEX(starting4players,AT45,AU45)</f>
        <v>0.52910000000000001</v>
      </c>
      <c r="BB45" s="73" cm="1">
        <f t="array" ref="BB45">INDEX(starting5players,AT45,AU45)</f>
        <v>0.44700000000000001</v>
      </c>
      <c r="BC45" s="73" cm="1">
        <f t="array" ref="BC45">INDEX(starting6players,AT45,AU45)</f>
        <v>0.4012</v>
      </c>
      <c r="BD45" s="73" cm="1">
        <f t="array" ref="BD45">INDEX(starting7players,AT45,AU45)</f>
        <v>0.32750000000000001</v>
      </c>
      <c r="BE45" s="73" cm="1">
        <f t="array" ref="BE45">INDEX(starting8players,AT45,AU45)</f>
        <v>0.31669999999999998</v>
      </c>
      <c r="BF45" s="74" cm="1">
        <f t="array" ref="BF45">INDEX(starting9players,AT45,AU45)</f>
        <v>0.1968</v>
      </c>
    </row>
    <row r="46" spans="1:58" ht="13.5" thickTop="1" thickBot="1">
      <c r="A46" s="55">
        <v>3</v>
      </c>
      <c r="B46" s="56">
        <v>0.11310000000000001</v>
      </c>
      <c r="C46" s="59">
        <v>8.9599999999999999E-2</v>
      </c>
      <c r="D46" s="59">
        <v>7.4800000000000005E-2</v>
      </c>
      <c r="E46" s="59">
        <v>6.6699999999999995E-2</v>
      </c>
      <c r="F46" s="59">
        <v>6.3399999999999998E-2</v>
      </c>
      <c r="G46" s="59">
        <v>6.25E-2</v>
      </c>
      <c r="H46" s="59">
        <v>4.7800000000000002E-2</v>
      </c>
      <c r="I46" s="59">
        <v>5.8400000000000001E-2</v>
      </c>
      <c r="J46" s="59">
        <v>6.7000000000000004E-2</v>
      </c>
      <c r="K46" s="59">
        <v>8.0799999999999997E-2</v>
      </c>
      <c r="L46" s="59">
        <v>6.5299999999999997E-2</v>
      </c>
      <c r="M46" s="57">
        <v>0.2281</v>
      </c>
      <c r="N46" s="61">
        <v>7.8700000000000006E-2</v>
      </c>
      <c r="P46" s="55">
        <v>3</v>
      </c>
      <c r="Q46" s="56">
        <v>0.10589999999999999</v>
      </c>
      <c r="R46" s="59">
        <v>8.6400000000000005E-2</v>
      </c>
      <c r="S46" s="59">
        <v>6.5299999999999997E-2</v>
      </c>
      <c r="T46" s="59">
        <v>6.1199999999999997E-2</v>
      </c>
      <c r="U46" s="59">
        <v>5.0599999999999999E-2</v>
      </c>
      <c r="V46" s="59">
        <v>4.9299999999999997E-2</v>
      </c>
      <c r="W46" s="59">
        <v>4.8899999999999999E-2</v>
      </c>
      <c r="X46" s="59">
        <v>4.7300000000000002E-2</v>
      </c>
      <c r="Y46" s="59">
        <v>5.9400000000000001E-2</v>
      </c>
      <c r="Z46" s="59">
        <v>6.7199999999999996E-2</v>
      </c>
      <c r="AA46" s="59">
        <v>6.5699999999999995E-2</v>
      </c>
      <c r="AB46" s="57">
        <v>0.22140000000000001</v>
      </c>
      <c r="AC46" s="61">
        <v>8.4500000000000006E-2</v>
      </c>
      <c r="AE46" s="55">
        <v>3</v>
      </c>
      <c r="AF46" s="56">
        <v>9.0800000000000006E-2</v>
      </c>
      <c r="AG46" s="59">
        <v>7.6100000000000001E-2</v>
      </c>
      <c r="AH46" s="59">
        <v>5.9700000000000003E-2</v>
      </c>
      <c r="AI46" s="59">
        <v>5.4699999999999999E-2</v>
      </c>
      <c r="AJ46" s="59">
        <v>4.5499999999999999E-2</v>
      </c>
      <c r="AK46" s="59">
        <v>4.4400000000000002E-2</v>
      </c>
      <c r="AL46" s="59">
        <v>4.0500000000000001E-2</v>
      </c>
      <c r="AM46" s="59">
        <v>4.3900000000000002E-2</v>
      </c>
      <c r="AN46" s="59">
        <v>5.3900000000000003E-2</v>
      </c>
      <c r="AO46" s="59">
        <v>5.8700000000000002E-2</v>
      </c>
      <c r="AP46" s="59">
        <v>5.6899999999999999E-2</v>
      </c>
      <c r="AQ46" s="57">
        <v>0.12820000000000001</v>
      </c>
      <c r="AR46" s="61">
        <v>8.5599999999999996E-2</v>
      </c>
      <c r="AT46" s="53">
        <v>4</v>
      </c>
      <c r="AU46" s="54">
        <v>5</v>
      </c>
      <c r="AV46" s="54" t="str" cm="1">
        <f t="array" ref="AV46">SUBSTITUTE(INDEX($A$3:$A$15,AT46),"10","T")</f>
        <v>J</v>
      </c>
      <c r="AW46" s="54" t="str" cm="1">
        <f t="array" ref="AW46">SUBSTITUTE(INDEX($B$2:$N$2,AU46),"10","T")</f>
        <v>T</v>
      </c>
      <c r="AX46" s="92" t="str">
        <f t="shared" si="1"/>
        <v>JTs</v>
      </c>
      <c r="AY46" s="67" cm="1">
        <f t="array" ref="AY46">INDEX(starting2players,AT46,AU46)</f>
        <v>0.59219999999999995</v>
      </c>
      <c r="AZ46" s="68" cm="1">
        <f t="array" ref="AZ46">INDEX(starting3players,AT46,AU46)</f>
        <v>0.40310000000000001</v>
      </c>
      <c r="BA46" s="68" cm="1">
        <f t="array" ref="BA46">INDEX(starting4players,AT46,AU46)</f>
        <v>0.31850000000000001</v>
      </c>
      <c r="BB46" s="68" cm="1">
        <f t="array" ref="BB46">INDEX(starting5players,AT46,AU46)</f>
        <v>0.26140000000000002</v>
      </c>
      <c r="BC46" s="68" cm="1">
        <f t="array" ref="BC46">INDEX(starting6players,AT46,AU46)</f>
        <v>0.23449999999999999</v>
      </c>
      <c r="BD46" s="68" cm="1">
        <f t="array" ref="BD46">INDEX(starting7players,AT46,AU46)</f>
        <v>0.18770000000000001</v>
      </c>
      <c r="BE46" s="68" cm="1">
        <f t="array" ref="BE46">INDEX(starting8players,AT46,AU46)</f>
        <v>0.1875</v>
      </c>
      <c r="BF46" s="69" cm="1">
        <f t="array" ref="BF46">INDEX(starting9players,AT46,AU46)</f>
        <v>0.16420000000000001</v>
      </c>
    </row>
    <row r="47" spans="1:58" ht="12.75" thickTop="1">
      <c r="A47" s="62">
        <v>2</v>
      </c>
      <c r="B47" s="63">
        <v>0.10390000000000001</v>
      </c>
      <c r="C47" s="64">
        <v>9.0999999999999998E-2</v>
      </c>
      <c r="D47" s="64">
        <v>8.0199999999999994E-2</v>
      </c>
      <c r="E47" s="64">
        <v>6.4399999999999999E-2</v>
      </c>
      <c r="F47" s="64">
        <v>6.0699999999999997E-2</v>
      </c>
      <c r="G47" s="64">
        <v>5.5899999999999998E-2</v>
      </c>
      <c r="H47" s="64">
        <v>5.16E-2</v>
      </c>
      <c r="I47" s="64">
        <v>4.7699999999999999E-2</v>
      </c>
      <c r="J47" s="64">
        <v>6.0199999999999997E-2</v>
      </c>
      <c r="K47" s="64">
        <v>6.9599999999999995E-2</v>
      </c>
      <c r="L47" s="64">
        <v>6.93E-2</v>
      </c>
      <c r="M47" s="64">
        <v>6.0900000000000003E-2</v>
      </c>
      <c r="N47" s="65">
        <v>0.24179999999999999</v>
      </c>
      <c r="P47" s="62">
        <v>2</v>
      </c>
      <c r="Q47" s="63">
        <v>9.9500000000000005E-2</v>
      </c>
      <c r="R47" s="64">
        <v>7.9299999999999995E-2</v>
      </c>
      <c r="S47" s="64">
        <v>7.4399999999999994E-2</v>
      </c>
      <c r="T47" s="64">
        <v>5.3499999999999999E-2</v>
      </c>
      <c r="U47" s="64">
        <v>5.6000000000000001E-2</v>
      </c>
      <c r="V47" s="64">
        <v>4.36E-2</v>
      </c>
      <c r="W47" s="64">
        <v>4.7199999999999999E-2</v>
      </c>
      <c r="X47" s="64">
        <v>4.1599999999999998E-2</v>
      </c>
      <c r="Y47" s="64">
        <v>4.36E-2</v>
      </c>
      <c r="Z47" s="64">
        <v>5.7200000000000001E-2</v>
      </c>
      <c r="AA47" s="64">
        <v>5.6500000000000002E-2</v>
      </c>
      <c r="AB47" s="64">
        <v>4.7899999999999998E-2</v>
      </c>
      <c r="AC47" s="65">
        <v>0.22270000000000001</v>
      </c>
      <c r="AE47" s="62">
        <v>2</v>
      </c>
      <c r="AF47" s="63">
        <v>8.43E-2</v>
      </c>
      <c r="AG47" s="64">
        <v>7.1199999999999999E-2</v>
      </c>
      <c r="AH47" s="64">
        <v>6.2899999999999998E-2</v>
      </c>
      <c r="AI47" s="64">
        <v>5.3999999999999999E-2</v>
      </c>
      <c r="AJ47" s="64">
        <v>5.1700000000000003E-2</v>
      </c>
      <c r="AK47" s="64">
        <v>4.2599999999999999E-2</v>
      </c>
      <c r="AL47" s="64">
        <v>3.5900000000000001E-2</v>
      </c>
      <c r="AM47" s="64">
        <v>3.5299999999999998E-2</v>
      </c>
      <c r="AN47" s="64">
        <v>4.3400000000000001E-2</v>
      </c>
      <c r="AO47" s="64">
        <v>5.57E-2</v>
      </c>
      <c r="AP47" s="64">
        <v>5.2600000000000001E-2</v>
      </c>
      <c r="AQ47" s="64">
        <v>4.9700000000000001E-2</v>
      </c>
      <c r="AR47" s="65">
        <v>0.1208</v>
      </c>
      <c r="AT47" s="70">
        <v>4</v>
      </c>
      <c r="AU47" s="71">
        <v>6</v>
      </c>
      <c r="AV47" s="71" t="str" cm="1">
        <f t="array" ref="AV47">SUBSTITUTE(INDEX($A$3:$A$15,AT47),"10","T")</f>
        <v>J</v>
      </c>
      <c r="AW47" s="71" t="str" cm="1">
        <f t="array" ref="AW47">SUBSTITUTE(INDEX($B$2:$N$2,AU47),"10","T")</f>
        <v>9</v>
      </c>
      <c r="AX47" s="91" t="str">
        <f t="shared" si="1"/>
        <v>J9s</v>
      </c>
      <c r="AY47" s="72" cm="1">
        <f t="array" ref="AY47">INDEX(starting2players,AT47,AU47)</f>
        <v>0.57130000000000003</v>
      </c>
      <c r="AZ47" s="73" cm="1">
        <f t="array" ref="AZ47">INDEX(starting3players,AT47,AU47)</f>
        <v>0.3846</v>
      </c>
      <c r="BA47" s="73" cm="1">
        <f t="array" ref="BA47">INDEX(starting4players,AT47,AU47)</f>
        <v>0.2918</v>
      </c>
      <c r="BB47" s="73" cm="1">
        <f t="array" ref="BB47">INDEX(starting5players,AT47,AU47)</f>
        <v>0.23680000000000001</v>
      </c>
      <c r="BC47" s="73" cm="1">
        <f t="array" ref="BC47">INDEX(starting6players,AT47,AU47)</f>
        <v>0.2084</v>
      </c>
      <c r="BD47" s="73" cm="1">
        <f t="array" ref="BD47">INDEX(starting7players,AT47,AU47)</f>
        <v>0.16930000000000001</v>
      </c>
      <c r="BE47" s="73" cm="1">
        <f t="array" ref="BE47">INDEX(starting8players,AT47,AU47)</f>
        <v>0.15570000000000001</v>
      </c>
      <c r="BF47" s="74" cm="1">
        <f t="array" ref="BF47">INDEX(starting9players,AT47,AU47)</f>
        <v>0.14860000000000001</v>
      </c>
    </row>
    <row r="48" spans="1:58">
      <c r="A48" s="66"/>
      <c r="B48" s="66"/>
      <c r="AT48" s="53">
        <v>4</v>
      </c>
      <c r="AU48" s="54">
        <v>7</v>
      </c>
      <c r="AV48" s="54" t="str" cm="1">
        <f t="array" ref="AV48">SUBSTITUTE(INDEX($A$3:$A$15,AT48),"10","T")</f>
        <v>J</v>
      </c>
      <c r="AW48" s="54" t="str" cm="1">
        <f t="array" ref="AW48">SUBSTITUTE(INDEX($B$2:$N$2,AU48),"10","T")</f>
        <v>8</v>
      </c>
      <c r="AX48" s="92" t="str">
        <f t="shared" si="1"/>
        <v>J8s</v>
      </c>
      <c r="AY48" s="67" cm="1">
        <f t="array" ref="AY48">INDEX(starting2players,AT48,AU48)</f>
        <v>0.54220000000000002</v>
      </c>
      <c r="AZ48" s="68" cm="1">
        <f t="array" ref="AZ48">INDEX(starting3players,AT48,AU48)</f>
        <v>0.3473</v>
      </c>
      <c r="BA48" s="68" cm="1">
        <f t="array" ref="BA48">INDEX(starting4players,AT48,AU48)</f>
        <v>0.27629999999999999</v>
      </c>
      <c r="BB48" s="68" cm="1">
        <f t="array" ref="BB48">INDEX(starting5players,AT48,AU48)</f>
        <v>0.2203</v>
      </c>
      <c r="BC48" s="68" cm="1">
        <f t="array" ref="BC48">INDEX(starting6players,AT48,AU48)</f>
        <v>0.1898</v>
      </c>
      <c r="BD48" s="68" cm="1">
        <f t="array" ref="BD48">INDEX(starting7players,AT48,AU48)</f>
        <v>0.14319999999999999</v>
      </c>
      <c r="BE48" s="68" cm="1">
        <f t="array" ref="BE48">INDEX(starting8players,AT48,AU48)</f>
        <v>0.1399</v>
      </c>
      <c r="BF48" s="69" cm="1">
        <f t="array" ref="BF48">INDEX(starting9players,AT48,AU48)</f>
        <v>0.1331</v>
      </c>
    </row>
    <row r="49" spans="46:58">
      <c r="AT49" s="70">
        <v>4</v>
      </c>
      <c r="AU49" s="71">
        <v>8</v>
      </c>
      <c r="AV49" s="71" t="str" cm="1">
        <f t="array" ref="AV49">SUBSTITUTE(INDEX($A$3:$A$15,AT49),"10","T")</f>
        <v>J</v>
      </c>
      <c r="AW49" s="71" t="str" cm="1">
        <f t="array" ref="AW49">SUBSTITUTE(INDEX($B$2:$N$2,AU49),"10","T")</f>
        <v>7</v>
      </c>
      <c r="AX49" s="91" t="str">
        <f t="shared" si="1"/>
        <v>J7s</v>
      </c>
      <c r="AY49" s="72" cm="1">
        <f t="array" ref="AY49">INDEX(starting2players,AT49,AU49)</f>
        <v>0.5181</v>
      </c>
      <c r="AZ49" s="73" cm="1">
        <f t="array" ref="AZ49">INDEX(starting3players,AT49,AU49)</f>
        <v>0.32579999999999998</v>
      </c>
      <c r="BA49" s="73" cm="1">
        <f t="array" ref="BA49">INDEX(starting4players,AT49,AU49)</f>
        <v>0.25319999999999998</v>
      </c>
      <c r="BB49" s="73" cm="1">
        <f t="array" ref="BB49">INDEX(starting5players,AT49,AU49)</f>
        <v>0.2056</v>
      </c>
      <c r="BC49" s="73" cm="1">
        <f t="array" ref="BC49">INDEX(starting6players,AT49,AU49)</f>
        <v>0.1638</v>
      </c>
      <c r="BD49" s="73" cm="1">
        <f t="array" ref="BD49">INDEX(starting7players,AT49,AU49)</f>
        <v>0.1263</v>
      </c>
      <c r="BE49" s="73" cm="1">
        <f t="array" ref="BE49">INDEX(starting8players,AT49,AU49)</f>
        <v>0.12659999999999999</v>
      </c>
      <c r="BF49" s="74" cm="1">
        <f t="array" ref="BF49">INDEX(starting9players,AT49,AU49)</f>
        <v>0.1164</v>
      </c>
    </row>
    <row r="50" spans="46:58">
      <c r="AT50" s="53">
        <v>4</v>
      </c>
      <c r="AU50" s="54">
        <v>9</v>
      </c>
      <c r="AV50" s="54" t="str" cm="1">
        <f t="array" ref="AV50">SUBSTITUTE(INDEX($A$3:$A$15,AT50),"10","T")</f>
        <v>J</v>
      </c>
      <c r="AW50" s="54" t="str" cm="1">
        <f t="array" ref="AW50">SUBSTITUTE(INDEX($B$2:$N$2,AU50),"10","T")</f>
        <v>6</v>
      </c>
      <c r="AX50" s="92" t="str">
        <f t="shared" si="1"/>
        <v>J6s</v>
      </c>
      <c r="AY50" s="67" cm="1">
        <f t="array" ref="AY50">INDEX(starting2players,AT50,AU50)</f>
        <v>0.50160000000000005</v>
      </c>
      <c r="AZ50" s="68" cm="1">
        <f t="array" ref="AZ50">INDEX(starting3players,AT50,AU50)</f>
        <v>0.30620000000000003</v>
      </c>
      <c r="BA50" s="68" cm="1">
        <f t="array" ref="BA50">INDEX(starting4players,AT50,AU50)</f>
        <v>0.23480000000000001</v>
      </c>
      <c r="BB50" s="68" cm="1">
        <f t="array" ref="BB50">INDEX(starting5players,AT50,AU50)</f>
        <v>0.1757</v>
      </c>
      <c r="BC50" s="68" cm="1">
        <f t="array" ref="BC50">INDEX(starting6players,AT50,AU50)</f>
        <v>0.15340000000000001</v>
      </c>
      <c r="BD50" s="68" cm="1">
        <f t="array" ref="BD50">INDEX(starting7players,AT50,AU50)</f>
        <v>0.1181</v>
      </c>
      <c r="BE50" s="68" cm="1">
        <f t="array" ref="BE50">INDEX(starting8players,AT50,AU50)</f>
        <v>0.1109</v>
      </c>
      <c r="BF50" s="69" cm="1">
        <f t="array" ref="BF50">INDEX(starting9players,AT50,AU50)</f>
        <v>0.1012</v>
      </c>
    </row>
    <row r="51" spans="46:58">
      <c r="AT51" s="70">
        <v>4</v>
      </c>
      <c r="AU51" s="71">
        <v>10</v>
      </c>
      <c r="AV51" s="71" t="str" cm="1">
        <f t="array" ref="AV51">SUBSTITUTE(INDEX($A$3:$A$15,AT51),"10","T")</f>
        <v>J</v>
      </c>
      <c r="AW51" s="71" t="str" cm="1">
        <f t="array" ref="AW51">SUBSTITUTE(INDEX($B$2:$N$2,AU51),"10","T")</f>
        <v>5</v>
      </c>
      <c r="AX51" s="91" t="str">
        <f t="shared" si="1"/>
        <v>J5s</v>
      </c>
      <c r="AY51" s="72" cm="1">
        <f t="array" ref="AY51">INDEX(starting2players,AT51,AU51)</f>
        <v>0.49330000000000002</v>
      </c>
      <c r="AZ51" s="73" cm="1">
        <f t="array" ref="AZ51">INDEX(starting3players,AT51,AU51)</f>
        <v>0.30199999999999999</v>
      </c>
      <c r="BA51" s="73" cm="1">
        <f t="array" ref="BA51">INDEX(starting4players,AT51,AU51)</f>
        <v>0.21709999999999999</v>
      </c>
      <c r="BB51" s="73" cm="1">
        <f t="array" ref="BB51">INDEX(starting5players,AT51,AU51)</f>
        <v>0.1777</v>
      </c>
      <c r="BC51" s="73" cm="1">
        <f t="array" ref="BC51">INDEX(starting6players,AT51,AU51)</f>
        <v>0.14649999999999999</v>
      </c>
      <c r="BD51" s="73" cm="1">
        <f t="array" ref="BD51">INDEX(starting7players,AT51,AU51)</f>
        <v>0.113</v>
      </c>
      <c r="BE51" s="73" cm="1">
        <f t="array" ref="BE51">INDEX(starting8players,AT51,AU51)</f>
        <v>0.1074</v>
      </c>
      <c r="BF51" s="74" cm="1">
        <f t="array" ref="BF51">INDEX(starting9players,AT51,AU51)</f>
        <v>9.6100000000000005E-2</v>
      </c>
    </row>
    <row r="52" spans="46:58">
      <c r="AT52" s="53">
        <v>4</v>
      </c>
      <c r="AU52" s="54">
        <v>11</v>
      </c>
      <c r="AV52" s="54" t="str" cm="1">
        <f t="array" ref="AV52">SUBSTITUTE(INDEX($A$3:$A$15,AT52),"10","T")</f>
        <v>J</v>
      </c>
      <c r="AW52" s="54" t="str" cm="1">
        <f t="array" ref="AW52">SUBSTITUTE(INDEX($B$2:$N$2,AU52),"10","T")</f>
        <v>4</v>
      </c>
      <c r="AX52" s="92" t="str">
        <f t="shared" si="1"/>
        <v>J4s</v>
      </c>
      <c r="AY52" s="67" cm="1">
        <f t="array" ref="AY52">INDEX(starting2players,AT52,AU52)</f>
        <v>0.48039999999999999</v>
      </c>
      <c r="AZ52" s="68" cm="1">
        <f t="array" ref="AZ52">INDEX(starting3players,AT52,AU52)</f>
        <v>0.2873</v>
      </c>
      <c r="BA52" s="68" cm="1">
        <f t="array" ref="BA52">INDEX(starting4players,AT52,AU52)</f>
        <v>0.21379999999999999</v>
      </c>
      <c r="BB52" s="68" cm="1">
        <f t="array" ref="BB52">INDEX(starting5players,AT52,AU52)</f>
        <v>0.17069999999999999</v>
      </c>
      <c r="BC52" s="68" cm="1">
        <f t="array" ref="BC52">INDEX(starting6players,AT52,AU52)</f>
        <v>0.14760000000000001</v>
      </c>
      <c r="BD52" s="68" cm="1">
        <f t="array" ref="BD52">INDEX(starting7players,AT52,AU52)</f>
        <v>0.10780000000000001</v>
      </c>
      <c r="BE52" s="68" cm="1">
        <f t="array" ref="BE52">INDEX(starting8players,AT52,AU52)</f>
        <v>0.1158</v>
      </c>
      <c r="BF52" s="69" cm="1">
        <f t="array" ref="BF52">INDEX(starting9players,AT52,AU52)</f>
        <v>0.10290000000000001</v>
      </c>
    </row>
    <row r="53" spans="46:58">
      <c r="AT53" s="70">
        <v>4</v>
      </c>
      <c r="AU53" s="71">
        <v>12</v>
      </c>
      <c r="AV53" s="71" t="str" cm="1">
        <f t="array" ref="AV53">SUBSTITUTE(INDEX($A$3:$A$15,AT53),"10","T")</f>
        <v>J</v>
      </c>
      <c r="AW53" s="71" t="str" cm="1">
        <f t="array" ref="AW53">SUBSTITUTE(INDEX($B$2:$N$2,AU53),"10","T")</f>
        <v>3</v>
      </c>
      <c r="AX53" s="91" t="str">
        <f t="shared" si="1"/>
        <v>J3s</v>
      </c>
      <c r="AY53" s="72" cm="1">
        <f t="array" ref="AY53">INDEX(starting2players,AT53,AU53)</f>
        <v>0.4834</v>
      </c>
      <c r="AZ53" s="73" cm="1">
        <f t="array" ref="AZ53">INDEX(starting3players,AT53,AU53)</f>
        <v>0.28149999999999997</v>
      </c>
      <c r="BA53" s="73" cm="1">
        <f t="array" ref="BA53">INDEX(starting4players,AT53,AU53)</f>
        <v>0.21510000000000001</v>
      </c>
      <c r="BB53" s="73" cm="1">
        <f t="array" ref="BB53">INDEX(starting5players,AT53,AU53)</f>
        <v>0.1792</v>
      </c>
      <c r="BC53" s="73" cm="1">
        <f t="array" ref="BC53">INDEX(starting6players,AT53,AU53)</f>
        <v>0.14749999999999999</v>
      </c>
      <c r="BD53" s="73" cm="1">
        <f t="array" ref="BD53">INDEX(starting7players,AT53,AU53)</f>
        <v>9.8699999999999996E-2</v>
      </c>
      <c r="BE53" s="73" cm="1">
        <f t="array" ref="BE53">INDEX(starting8players,AT53,AU53)</f>
        <v>0.1038</v>
      </c>
      <c r="BF53" s="74" cm="1">
        <f t="array" ref="BF53">INDEX(starting9players,AT53,AU53)</f>
        <v>9.3100000000000002E-2</v>
      </c>
    </row>
    <row r="54" spans="46:58">
      <c r="AT54" s="53">
        <v>4</v>
      </c>
      <c r="AU54" s="54">
        <v>13</v>
      </c>
      <c r="AV54" s="54" t="str" cm="1">
        <f t="array" ref="AV54">SUBSTITUTE(INDEX($A$3:$A$15,AT54),"10","T")</f>
        <v>J</v>
      </c>
      <c r="AW54" s="54" t="str" cm="1">
        <f t="array" ref="AW54">SUBSTITUTE(INDEX($B$2:$N$2,AU54),"10","T")</f>
        <v>2</v>
      </c>
      <c r="AX54" s="92" t="str">
        <f t="shared" si="1"/>
        <v>J2s</v>
      </c>
      <c r="AY54" s="67" cm="1">
        <f t="array" ref="AY54">INDEX(starting2players,AT54,AU54)</f>
        <v>0.47599999999999998</v>
      </c>
      <c r="AZ54" s="68" cm="1">
        <f t="array" ref="AZ54">INDEX(starting3players,AT54,AU54)</f>
        <v>0.27650000000000002</v>
      </c>
      <c r="BA54" s="68" cm="1">
        <f t="array" ref="BA54">INDEX(starting4players,AT54,AU54)</f>
        <v>0.2034</v>
      </c>
      <c r="BB54" s="68" cm="1">
        <f t="array" ref="BB54">INDEX(starting5players,AT54,AU54)</f>
        <v>0.16789999999999999</v>
      </c>
      <c r="BC54" s="68" cm="1">
        <f t="array" ref="BC54">INDEX(starting6players,AT54,AU54)</f>
        <v>0.1336</v>
      </c>
      <c r="BD54" s="68" cm="1">
        <f t="array" ref="BD54">INDEX(starting7players,AT54,AU54)</f>
        <v>0.1009</v>
      </c>
      <c r="BE54" s="68" cm="1">
        <f t="array" ref="BE54">INDEX(starting8players,AT54,AU54)</f>
        <v>0.1027</v>
      </c>
      <c r="BF54" s="69" cm="1">
        <f t="array" ref="BF54">INDEX(starting9players,AT54,AU54)</f>
        <v>9.5899999999999999E-2</v>
      </c>
    </row>
    <row r="55" spans="46:58">
      <c r="AT55" s="70">
        <v>5</v>
      </c>
      <c r="AU55" s="71">
        <v>1</v>
      </c>
      <c r="AV55" s="71" t="str" cm="1">
        <f t="array" ref="AV55">SUBSTITUTE(INDEX($A$3:$A$15,AT55),"10","T")</f>
        <v>T</v>
      </c>
      <c r="AW55" s="71" t="str" cm="1">
        <f t="array" ref="AW55">SUBSTITUTE(INDEX($B$2:$N$2,AU55),"10","T")</f>
        <v>A</v>
      </c>
      <c r="AX55" s="91" t="str">
        <f t="shared" si="1"/>
        <v>ATo</v>
      </c>
      <c r="AY55" s="72" cm="1">
        <f t="array" ref="AY55">INDEX(starting2players,AT55,AU55)</f>
        <v>0.64849999999999997</v>
      </c>
      <c r="AZ55" s="73" cm="1">
        <f t="array" ref="AZ55">INDEX(starting3players,AT55,AU55)</f>
        <v>0.43440000000000001</v>
      </c>
      <c r="BA55" s="73" cm="1">
        <f t="array" ref="BA55">INDEX(starting4players,AT55,AU55)</f>
        <v>0.31990000000000002</v>
      </c>
      <c r="BB55" s="73" cm="1">
        <f t="array" ref="BB55">INDEX(starting5players,AT55,AU55)</f>
        <v>0.26240000000000002</v>
      </c>
      <c r="BC55" s="73" cm="1">
        <f t="array" ref="BC55">INDEX(starting6players,AT55,AU55)</f>
        <v>0.22120000000000001</v>
      </c>
      <c r="BD55" s="73" cm="1">
        <f t="array" ref="BD55">INDEX(starting7players,AT55,AU55)</f>
        <v>0.16569999999999999</v>
      </c>
      <c r="BE55" s="73" cm="1">
        <f t="array" ref="BE55">INDEX(starting8players,AT55,AU55)</f>
        <v>0.15790000000000001</v>
      </c>
      <c r="BF55" s="74" cm="1">
        <f t="array" ref="BF55">INDEX(starting9players,AT55,AU55)</f>
        <v>0.14319999999999999</v>
      </c>
    </row>
    <row r="56" spans="46:58">
      <c r="AT56" s="53">
        <v>5</v>
      </c>
      <c r="AU56" s="54">
        <v>2</v>
      </c>
      <c r="AV56" s="54" t="str" cm="1">
        <f t="array" ref="AV56">SUBSTITUTE(INDEX($A$3:$A$15,AT56),"10","T")</f>
        <v>T</v>
      </c>
      <c r="AW56" s="54" t="str" cm="1">
        <f t="array" ref="AW56">SUBSTITUTE(INDEX($B$2:$N$2,AU56),"10","T")</f>
        <v>K</v>
      </c>
      <c r="AX56" s="92" t="str">
        <f t="shared" si="1"/>
        <v>KTo</v>
      </c>
      <c r="AY56" s="67" cm="1">
        <f t="array" ref="AY56">INDEX(starting2players,AT56,AU56)</f>
        <v>0.6179</v>
      </c>
      <c r="AZ56" s="68" cm="1">
        <f t="array" ref="AZ56">INDEX(starting3players,AT56,AU56)</f>
        <v>0.41520000000000001</v>
      </c>
      <c r="BA56" s="68" cm="1">
        <f t="array" ref="BA56">INDEX(starting4players,AT56,AU56)</f>
        <v>0.31040000000000001</v>
      </c>
      <c r="BB56" s="68" cm="1">
        <f t="array" ref="BB56">INDEX(starting5players,AT56,AU56)</f>
        <v>0.24510000000000001</v>
      </c>
      <c r="BC56" s="68" cm="1">
        <f t="array" ref="BC56">INDEX(starting6players,AT56,AU56)</f>
        <v>0.21379999999999999</v>
      </c>
      <c r="BD56" s="68" cm="1">
        <f t="array" ref="BD56">INDEX(starting7players,AT56,AU56)</f>
        <v>0.16009999999999999</v>
      </c>
      <c r="BE56" s="68" cm="1">
        <f t="array" ref="BE56">INDEX(starting8players,AT56,AU56)</f>
        <v>0.15110000000000001</v>
      </c>
      <c r="BF56" s="69" cm="1">
        <f t="array" ref="BF56">INDEX(starting9players,AT56,AU56)</f>
        <v>0.13950000000000001</v>
      </c>
    </row>
    <row r="57" spans="46:58">
      <c r="AT57" s="70">
        <v>5</v>
      </c>
      <c r="AU57" s="71">
        <v>3</v>
      </c>
      <c r="AV57" s="71" t="str" cm="1">
        <f t="array" ref="AV57">SUBSTITUTE(INDEX($A$3:$A$15,AT57),"10","T")</f>
        <v>T</v>
      </c>
      <c r="AW57" s="71" t="str" cm="1">
        <f t="array" ref="AW57">SUBSTITUTE(INDEX($B$2:$N$2,AU57),"10","T")</f>
        <v>Q</v>
      </c>
      <c r="AX57" s="91" t="str">
        <f t="shared" si="1"/>
        <v>QTo</v>
      </c>
      <c r="AY57" s="72" cm="1">
        <f t="array" ref="AY57">INDEX(starting2players,AT57,AU57)</f>
        <v>0.58509999999999995</v>
      </c>
      <c r="AZ57" s="73" cm="1">
        <f t="array" ref="AZ57">INDEX(starting3players,AT57,AU57)</f>
        <v>0.38569999999999999</v>
      </c>
      <c r="BA57" s="73" cm="1">
        <f t="array" ref="BA57">INDEX(starting4players,AT57,AU57)</f>
        <v>0.28810000000000002</v>
      </c>
      <c r="BB57" s="73" cm="1">
        <f t="array" ref="BB57">INDEX(starting5players,AT57,AU57)</f>
        <v>0.23960000000000001</v>
      </c>
      <c r="BC57" s="73" cm="1">
        <f t="array" ref="BC57">INDEX(starting6players,AT57,AU57)</f>
        <v>0.1996</v>
      </c>
      <c r="BD57" s="73" cm="1">
        <f t="array" ref="BD57">INDEX(starting7players,AT57,AU57)</f>
        <v>0.158</v>
      </c>
      <c r="BE57" s="73" cm="1">
        <f t="array" ref="BE57">INDEX(starting8players,AT57,AU57)</f>
        <v>0.14230000000000001</v>
      </c>
      <c r="BF57" s="74" cm="1">
        <f t="array" ref="BF57">INDEX(starting9players,AT57,AU57)</f>
        <v>0.13930000000000001</v>
      </c>
    </row>
    <row r="58" spans="46:58">
      <c r="AT58" s="53">
        <v>5</v>
      </c>
      <c r="AU58" s="54">
        <v>4</v>
      </c>
      <c r="AV58" s="54" t="str" cm="1">
        <f t="array" ref="AV58">SUBSTITUTE(INDEX($A$3:$A$15,AT58),"10","T")</f>
        <v>T</v>
      </c>
      <c r="AW58" s="54" t="str" cm="1">
        <f t="array" ref="AW58">SUBSTITUTE(INDEX($B$2:$N$2,AU58),"10","T")</f>
        <v>J</v>
      </c>
      <c r="AX58" s="92" t="str">
        <f t="shared" si="1"/>
        <v>JTo</v>
      </c>
      <c r="AY58" s="67" cm="1">
        <f t="array" ref="AY58">INDEX(starting2players,AT58,AU58)</f>
        <v>0.56710000000000005</v>
      </c>
      <c r="AZ58" s="68" cm="1">
        <f t="array" ref="AZ58">INDEX(starting3players,AT58,AU58)</f>
        <v>0.3785</v>
      </c>
      <c r="BA58" s="68" cm="1">
        <f t="array" ref="BA58">INDEX(starting4players,AT58,AU58)</f>
        <v>0.28649999999999998</v>
      </c>
      <c r="BB58" s="68" cm="1">
        <f t="array" ref="BB58">INDEX(starting5players,AT58,AU58)</f>
        <v>0.2356</v>
      </c>
      <c r="BC58" s="68" cm="1">
        <f t="array" ref="BC58">INDEX(starting6players,AT58,AU58)</f>
        <v>0.19239999999999999</v>
      </c>
      <c r="BD58" s="68" cm="1">
        <f t="array" ref="BD58">INDEX(starting7players,AT58,AU58)</f>
        <v>0.16389999999999999</v>
      </c>
      <c r="BE58" s="68" cm="1">
        <f t="array" ref="BE58">INDEX(starting8players,AT58,AU58)</f>
        <v>0.1404</v>
      </c>
      <c r="BF58" s="69" cm="1">
        <f t="array" ref="BF58">INDEX(starting9players,AT58,AU58)</f>
        <v>0.13450000000000001</v>
      </c>
    </row>
    <row r="59" spans="46:58">
      <c r="AT59" s="70">
        <v>5</v>
      </c>
      <c r="AU59" s="71">
        <v>5</v>
      </c>
      <c r="AV59" s="71" t="str" cm="1">
        <f t="array" ref="AV59">SUBSTITUTE(INDEX($A$3:$A$15,AT59),"10","T")</f>
        <v>T</v>
      </c>
      <c r="AW59" s="71" t="str" cm="1">
        <f t="array" ref="AW59">SUBSTITUTE(INDEX($B$2:$N$2,AU59),"10","T")</f>
        <v>T</v>
      </c>
      <c r="AX59" s="91" t="str">
        <f t="shared" si="1"/>
        <v>TT</v>
      </c>
      <c r="AY59" s="72" cm="1">
        <f t="array" ref="AY59">INDEX(starting2players,AT59,AU59)</f>
        <v>0.79559999999999997</v>
      </c>
      <c r="AZ59" s="73" cm="1">
        <f t="array" ref="AZ59">INDEX(starting3players,AT59,AU59)</f>
        <v>0.62350000000000005</v>
      </c>
      <c r="BA59" s="73" cm="1">
        <f t="array" ref="BA59">INDEX(starting4players,AT59,AU59)</f>
        <v>0.50309999999999999</v>
      </c>
      <c r="BB59" s="73" cm="1">
        <f t="array" ref="BB59">INDEX(starting5players,AT59,AU59)</f>
        <v>0.41539999999999999</v>
      </c>
      <c r="BC59" s="73" cm="1">
        <f t="array" ref="BC59">INDEX(starting6players,AT59,AU59)</f>
        <v>0.36630000000000001</v>
      </c>
      <c r="BD59" s="73" cm="1">
        <f t="array" ref="BD59">INDEX(starting7players,AT59,AU59)</f>
        <v>0.30420000000000003</v>
      </c>
      <c r="BE59" s="73" cm="1">
        <f t="array" ref="BE59">INDEX(starting8players,AT59,AU59)</f>
        <v>0.28100000000000003</v>
      </c>
      <c r="BF59" s="74" cm="1">
        <f t="array" ref="BF59">INDEX(starting9players,AT59,AU59)</f>
        <v>0.1757</v>
      </c>
    </row>
    <row r="60" spans="46:58">
      <c r="AT60" s="53">
        <v>5</v>
      </c>
      <c r="AU60" s="54">
        <v>6</v>
      </c>
      <c r="AV60" s="54" t="str" cm="1">
        <f t="array" ref="AV60">SUBSTITUTE(INDEX($A$3:$A$15,AT60),"10","T")</f>
        <v>T</v>
      </c>
      <c r="AW60" s="54" t="str" cm="1">
        <f t="array" ref="AW60">SUBSTITUTE(INDEX($B$2:$N$2,AU60),"10","T")</f>
        <v>9</v>
      </c>
      <c r="AX60" s="92" t="str">
        <f t="shared" si="1"/>
        <v>T9s</v>
      </c>
      <c r="AY60" s="67" cm="1">
        <f t="array" ref="AY60">INDEX(starting2players,AT60,AU60)</f>
        <v>0.55830000000000002</v>
      </c>
      <c r="AZ60" s="68" cm="1">
        <f t="array" ref="AZ60">INDEX(starting3players,AT60,AU60)</f>
        <v>0.36919999999999997</v>
      </c>
      <c r="BA60" s="68" cm="1">
        <f t="array" ref="BA60">INDEX(starting4players,AT60,AU60)</f>
        <v>0.29430000000000001</v>
      </c>
      <c r="BB60" s="68" cm="1">
        <f t="array" ref="BB60">INDEX(starting5players,AT60,AU60)</f>
        <v>0.24440000000000001</v>
      </c>
      <c r="BC60" s="68" cm="1">
        <f t="array" ref="BC60">INDEX(starting6players,AT60,AU60)</f>
        <v>0.2064</v>
      </c>
      <c r="BD60" s="68" cm="1">
        <f t="array" ref="BD60">INDEX(starting7players,AT60,AU60)</f>
        <v>0.17</v>
      </c>
      <c r="BE60" s="68" cm="1">
        <f t="array" ref="BE60">INDEX(starting8players,AT60,AU60)</f>
        <v>0.1573</v>
      </c>
      <c r="BF60" s="69" cm="1">
        <f t="array" ref="BF60">INDEX(starting9players,AT60,AU60)</f>
        <v>0.1457</v>
      </c>
    </row>
    <row r="61" spans="46:58">
      <c r="AT61" s="70">
        <v>5</v>
      </c>
      <c r="AU61" s="71">
        <v>7</v>
      </c>
      <c r="AV61" s="71" t="str" cm="1">
        <f t="array" ref="AV61">SUBSTITUTE(INDEX($A$3:$A$15,AT61),"10","T")</f>
        <v>T</v>
      </c>
      <c r="AW61" s="71" t="str" cm="1">
        <f t="array" ref="AW61">SUBSTITUTE(INDEX($B$2:$N$2,AU61),"10","T")</f>
        <v>8</v>
      </c>
      <c r="AX61" s="91" t="str">
        <f t="shared" si="1"/>
        <v>T8s</v>
      </c>
      <c r="AY61" s="72" cm="1">
        <f t="array" ref="AY61">INDEX(starting2players,AT61,AU61)</f>
        <v>0.52649999999999997</v>
      </c>
      <c r="AZ61" s="73" cm="1">
        <f t="array" ref="AZ61">INDEX(starting3players,AT61,AU61)</f>
        <v>0.35630000000000001</v>
      </c>
      <c r="BA61" s="73" cm="1">
        <f t="array" ref="BA61">INDEX(starting4players,AT61,AU61)</f>
        <v>0.2666</v>
      </c>
      <c r="BB61" s="73" cm="1">
        <f t="array" ref="BB61">INDEX(starting5players,AT61,AU61)</f>
        <v>0.22520000000000001</v>
      </c>
      <c r="BC61" s="73" cm="1">
        <f t="array" ref="BC61">INDEX(starting6players,AT61,AU61)</f>
        <v>0.1794</v>
      </c>
      <c r="BD61" s="73" cm="1">
        <f t="array" ref="BD61">INDEX(starting7players,AT61,AU61)</f>
        <v>0.15679999999999999</v>
      </c>
      <c r="BE61" s="73" cm="1">
        <f t="array" ref="BE61">INDEX(starting8players,AT61,AU61)</f>
        <v>0.14530000000000001</v>
      </c>
      <c r="BF61" s="74" cm="1">
        <f t="array" ref="BF61">INDEX(starting9players,AT61,AU61)</f>
        <v>0.13600000000000001</v>
      </c>
    </row>
    <row r="62" spans="46:58">
      <c r="AT62" s="53">
        <v>5</v>
      </c>
      <c r="AU62" s="54">
        <v>8</v>
      </c>
      <c r="AV62" s="54" t="str" cm="1">
        <f t="array" ref="AV62">SUBSTITUTE(INDEX($A$3:$A$15,AT62),"10","T")</f>
        <v>T</v>
      </c>
      <c r="AW62" s="54" t="str" cm="1">
        <f t="array" ref="AW62">SUBSTITUTE(INDEX($B$2:$N$2,AU62),"10","T")</f>
        <v>7</v>
      </c>
      <c r="AX62" s="92" t="str">
        <f t="shared" si="1"/>
        <v>T7s</v>
      </c>
      <c r="AY62" s="67" cm="1">
        <f t="array" ref="AY62">INDEX(starting2players,AT62,AU62)</f>
        <v>0.50449999999999995</v>
      </c>
      <c r="AZ62" s="68" cm="1">
        <f t="array" ref="AZ62">INDEX(starting3players,AT62,AU62)</f>
        <v>0.3387</v>
      </c>
      <c r="BA62" s="68" cm="1">
        <f t="array" ref="BA62">INDEX(starting4players,AT62,AU62)</f>
        <v>0.25269999999999998</v>
      </c>
      <c r="BB62" s="68" cm="1">
        <f t="array" ref="BB62">INDEX(starting5players,AT62,AU62)</f>
        <v>0.20610000000000001</v>
      </c>
      <c r="BC62" s="68" cm="1">
        <f t="array" ref="BC62">INDEX(starting6players,AT62,AU62)</f>
        <v>0.1757</v>
      </c>
      <c r="BD62" s="68" cm="1">
        <f t="array" ref="BD62">INDEX(starting7players,AT62,AU62)</f>
        <v>0.13969999999999999</v>
      </c>
      <c r="BE62" s="68" cm="1">
        <f t="array" ref="BE62">INDEX(starting8players,AT62,AU62)</f>
        <v>0.12820000000000001</v>
      </c>
      <c r="BF62" s="69" cm="1">
        <f t="array" ref="BF62">INDEX(starting9players,AT62,AU62)</f>
        <v>0.12509999999999999</v>
      </c>
    </row>
    <row r="63" spans="46:58">
      <c r="AT63" s="70">
        <v>5</v>
      </c>
      <c r="AU63" s="71">
        <v>9</v>
      </c>
      <c r="AV63" s="71" t="str" cm="1">
        <f t="array" ref="AV63">SUBSTITUTE(INDEX($A$3:$A$15,AT63),"10","T")</f>
        <v>T</v>
      </c>
      <c r="AW63" s="71" t="str" cm="1">
        <f t="array" ref="AW63">SUBSTITUTE(INDEX($B$2:$N$2,AU63),"10","T")</f>
        <v>6</v>
      </c>
      <c r="AX63" s="91" t="str">
        <f t="shared" si="1"/>
        <v>T6s</v>
      </c>
      <c r="AY63" s="72" cm="1">
        <f t="array" ref="AY63">INDEX(starting2players,AT63,AU63)</f>
        <v>0.48359999999999997</v>
      </c>
      <c r="AZ63" s="73" cm="1">
        <f t="array" ref="AZ63">INDEX(starting3players,AT63,AU63)</f>
        <v>0.29920000000000002</v>
      </c>
      <c r="BA63" s="73" cm="1">
        <f t="array" ref="BA63">INDEX(starting4players,AT63,AU63)</f>
        <v>0.23139999999999999</v>
      </c>
      <c r="BB63" s="73" cm="1">
        <f t="array" ref="BB63">INDEX(starting5players,AT63,AU63)</f>
        <v>0.18140000000000001</v>
      </c>
      <c r="BC63" s="73" cm="1">
        <f t="array" ref="BC63">INDEX(starting6players,AT63,AU63)</f>
        <v>0.1462</v>
      </c>
      <c r="BD63" s="73" cm="1">
        <f t="array" ref="BD63">INDEX(starting7players,AT63,AU63)</f>
        <v>0.1226</v>
      </c>
      <c r="BE63" s="73" cm="1">
        <f t="array" ref="BE63">INDEX(starting8players,AT63,AU63)</f>
        <v>0.1086</v>
      </c>
      <c r="BF63" s="74" cm="1">
        <f t="array" ref="BF63">INDEX(starting9players,AT63,AU63)</f>
        <v>0.10630000000000001</v>
      </c>
    </row>
    <row r="64" spans="46:58">
      <c r="AT64" s="53">
        <v>5</v>
      </c>
      <c r="AU64" s="54">
        <v>10</v>
      </c>
      <c r="AV64" s="54" t="str" cm="1">
        <f t="array" ref="AV64">SUBSTITUTE(INDEX($A$3:$A$15,AT64),"10","T")</f>
        <v>T</v>
      </c>
      <c r="AW64" s="54" t="str" cm="1">
        <f t="array" ref="AW64">SUBSTITUTE(INDEX($B$2:$N$2,AU64),"10","T")</f>
        <v>5</v>
      </c>
      <c r="AX64" s="92" t="str">
        <f t="shared" si="1"/>
        <v>T5s</v>
      </c>
      <c r="AY64" s="67" cm="1">
        <f t="array" ref="AY64">INDEX(starting2players,AT64,AU64)</f>
        <v>0.45989999999999998</v>
      </c>
      <c r="AZ64" s="68" cm="1">
        <f t="array" ref="AZ64">INDEX(starting3players,AT64,AU64)</f>
        <v>0.2858</v>
      </c>
      <c r="BA64" s="68" cm="1">
        <f t="array" ref="BA64">INDEX(starting4players,AT64,AU64)</f>
        <v>0.21490000000000001</v>
      </c>
      <c r="BB64" s="68" cm="1">
        <f t="array" ref="BB64">INDEX(starting5players,AT64,AU64)</f>
        <v>0.16600000000000001</v>
      </c>
      <c r="BC64" s="68" cm="1">
        <f t="array" ref="BC64">INDEX(starting6players,AT64,AU64)</f>
        <v>0.1371</v>
      </c>
      <c r="BD64" s="68" cm="1">
        <f t="array" ref="BD64">INDEX(starting7players,AT64,AU64)</f>
        <v>0.1124</v>
      </c>
      <c r="BE64" s="68" cm="1">
        <f t="array" ref="BE64">INDEX(starting8players,AT64,AU64)</f>
        <v>0.1021</v>
      </c>
      <c r="BF64" s="69" cm="1">
        <f t="array" ref="BF64">INDEX(starting9players,AT64,AU64)</f>
        <v>9.2399999999999996E-2</v>
      </c>
    </row>
    <row r="65" spans="46:58">
      <c r="AT65" s="70">
        <v>5</v>
      </c>
      <c r="AU65" s="71">
        <v>11</v>
      </c>
      <c r="AV65" s="71" t="str" cm="1">
        <f t="array" ref="AV65">SUBSTITUTE(INDEX($A$3:$A$15,AT65),"10","T")</f>
        <v>T</v>
      </c>
      <c r="AW65" s="71" t="str" cm="1">
        <f t="array" ref="AW65">SUBSTITUTE(INDEX($B$2:$N$2,AU65),"10","T")</f>
        <v>4</v>
      </c>
      <c r="AX65" s="91" t="str">
        <f t="shared" si="1"/>
        <v>T4s</v>
      </c>
      <c r="AY65" s="72" cm="1">
        <f t="array" ref="AY65">INDEX(starting2players,AT65,AU65)</f>
        <v>0.46129999999999999</v>
      </c>
      <c r="AZ65" s="73" cm="1">
        <f t="array" ref="AZ65">INDEX(starting3players,AT65,AU65)</f>
        <v>0.27710000000000001</v>
      </c>
      <c r="BA65" s="73" cm="1">
        <f t="array" ref="BA65">INDEX(starting4players,AT65,AU65)</f>
        <v>0.21229999999999999</v>
      </c>
      <c r="BB65" s="73" cm="1">
        <f t="array" ref="BB65">INDEX(starting5players,AT65,AU65)</f>
        <v>0.16830000000000001</v>
      </c>
      <c r="BC65" s="73" cm="1">
        <f t="array" ref="BC65">INDEX(starting6players,AT65,AU65)</f>
        <v>0.1376</v>
      </c>
      <c r="BD65" s="73" cm="1">
        <f t="array" ref="BD65">INDEX(starting7players,AT65,AU65)</f>
        <v>0.1007</v>
      </c>
      <c r="BE65" s="73" cm="1">
        <f t="array" ref="BE65">INDEX(starting8players,AT65,AU65)</f>
        <v>9.9900000000000003E-2</v>
      </c>
      <c r="BF65" s="74" cm="1">
        <f t="array" ref="BF65">INDEX(starting9players,AT65,AU65)</f>
        <v>9.5699999999999993E-2</v>
      </c>
    </row>
    <row r="66" spans="46:58">
      <c r="AT66" s="53">
        <v>5</v>
      </c>
      <c r="AU66" s="54">
        <v>12</v>
      </c>
      <c r="AV66" s="54" t="str" cm="1">
        <f t="array" ref="AV66">SUBSTITUTE(INDEX($A$3:$A$15,AT66),"10","T")</f>
        <v>T</v>
      </c>
      <c r="AW66" s="54" t="str" cm="1">
        <f t="array" ref="AW66">SUBSTITUTE(INDEX($B$2:$N$2,AU66),"10","T")</f>
        <v>3</v>
      </c>
      <c r="AX66" s="92" t="str">
        <f t="shared" si="1"/>
        <v>T3s</v>
      </c>
      <c r="AY66" s="67" cm="1">
        <f t="array" ref="AY66">INDEX(starting2players,AT66,AU66)</f>
        <v>0.44350000000000001</v>
      </c>
      <c r="AZ66" s="68" cm="1">
        <f t="array" ref="AZ66">INDEX(starting3players,AT66,AU66)</f>
        <v>0.2722</v>
      </c>
      <c r="BA66" s="68" cm="1">
        <f t="array" ref="BA66">INDEX(starting4players,AT66,AU66)</f>
        <v>0.2036</v>
      </c>
      <c r="BB66" s="68" cm="1">
        <f t="array" ref="BB66">INDEX(starting5players,AT66,AU66)</f>
        <v>0.16370000000000001</v>
      </c>
      <c r="BC66" s="68" cm="1">
        <f t="array" ref="BC66">INDEX(starting6players,AT66,AU66)</f>
        <v>0.13350000000000001</v>
      </c>
      <c r="BD66" s="68" cm="1">
        <f t="array" ref="BD66">INDEX(starting7players,AT66,AU66)</f>
        <v>0.1061</v>
      </c>
      <c r="BE66" s="68" cm="1">
        <f t="array" ref="BE66">INDEX(starting8players,AT66,AU66)</f>
        <v>0.1022</v>
      </c>
      <c r="BF66" s="69" cm="1">
        <f t="array" ref="BF66">INDEX(starting9players,AT66,AU66)</f>
        <v>8.5800000000000001E-2</v>
      </c>
    </row>
    <row r="67" spans="46:58">
      <c r="AT67" s="70">
        <v>5</v>
      </c>
      <c r="AU67" s="71">
        <v>13</v>
      </c>
      <c r="AV67" s="71" t="str" cm="1">
        <f t="array" ref="AV67">SUBSTITUTE(INDEX($A$3:$A$15,AT67),"10","T")</f>
        <v>T</v>
      </c>
      <c r="AW67" s="71" t="str" cm="1">
        <f t="array" ref="AW67">SUBSTITUTE(INDEX($B$2:$N$2,AU67),"10","T")</f>
        <v>2</v>
      </c>
      <c r="AX67" s="91" t="str">
        <f t="shared" si="1"/>
        <v>T2s</v>
      </c>
      <c r="AY67" s="72" cm="1">
        <f t="array" ref="AY67">INDEX(starting2players,AT67,AU67)</f>
        <v>0.439</v>
      </c>
      <c r="AZ67" s="73" cm="1">
        <f t="array" ref="AZ67">INDEX(starting3players,AT67,AU67)</f>
        <v>0.27160000000000001</v>
      </c>
      <c r="BA67" s="73" cm="1">
        <f t="array" ref="BA67">INDEX(starting4players,AT67,AU67)</f>
        <v>0.20230000000000001</v>
      </c>
      <c r="BB67" s="73" cm="1">
        <f t="array" ref="BB67">INDEX(starting5players,AT67,AU67)</f>
        <v>0.15690000000000001</v>
      </c>
      <c r="BC67" s="73" cm="1">
        <f t="array" ref="BC67">INDEX(starting6players,AT67,AU67)</f>
        <v>0.1242</v>
      </c>
      <c r="BD67" s="73" cm="1">
        <f t="array" ref="BD67">INDEX(starting7players,AT67,AU67)</f>
        <v>9.5000000000000001E-2</v>
      </c>
      <c r="BE67" s="73" cm="1">
        <f t="array" ref="BE67">INDEX(starting8players,AT67,AU67)</f>
        <v>9.9400000000000002E-2</v>
      </c>
      <c r="BF67" s="74" cm="1">
        <f t="array" ref="BF67">INDEX(starting9players,AT67,AU67)</f>
        <v>8.8200000000000001E-2</v>
      </c>
    </row>
    <row r="68" spans="46:58">
      <c r="AT68" s="53">
        <v>6</v>
      </c>
      <c r="AU68" s="54">
        <v>1</v>
      </c>
      <c r="AV68" s="54" t="str" cm="1">
        <f t="array" ref="AV68">SUBSTITUTE(INDEX($A$3:$A$15,AT68),"10","T")</f>
        <v>9</v>
      </c>
      <c r="AW68" s="54" t="str" cm="1">
        <f t="array" ref="AW68">SUBSTITUTE(INDEX($B$2:$N$2,AU68),"10","T")</f>
        <v>A</v>
      </c>
      <c r="AX68" s="92" t="str">
        <f t="shared" si="1"/>
        <v>A9o</v>
      </c>
      <c r="AY68" s="67" cm="1">
        <f t="array" ref="AY68">INDEX(starting2players,AT68,AU68)</f>
        <v>0.626</v>
      </c>
      <c r="AZ68" s="68" cm="1">
        <f t="array" ref="AZ68">INDEX(starting3players,AT68,AU68)</f>
        <v>0.39550000000000002</v>
      </c>
      <c r="BA68" s="68" cm="1">
        <f t="array" ref="BA68">INDEX(starting4players,AT68,AU68)</f>
        <v>0.29110000000000003</v>
      </c>
      <c r="BB68" s="68" cm="1">
        <f t="array" ref="BB68">INDEX(starting5players,AT68,AU68)</f>
        <v>0.22789999999999999</v>
      </c>
      <c r="BC68" s="68" cm="1">
        <f t="array" ref="BC68">INDEX(starting6players,AT68,AU68)</f>
        <v>0.18140000000000001</v>
      </c>
      <c r="BD68" s="68" cm="1">
        <f t="array" ref="BD68">INDEX(starting7players,AT68,AU68)</f>
        <v>0.12859999999999999</v>
      </c>
      <c r="BE68" s="68" cm="1">
        <f t="array" ref="BE68">INDEX(starting8players,AT68,AU68)</f>
        <v>0.1244</v>
      </c>
      <c r="BF68" s="69" cm="1">
        <f t="array" ref="BF68">INDEX(starting9players,AT68,AU68)</f>
        <v>0.1079</v>
      </c>
    </row>
    <row r="69" spans="46:58">
      <c r="AT69" s="70">
        <v>6</v>
      </c>
      <c r="AU69" s="71">
        <v>2</v>
      </c>
      <c r="AV69" s="71" t="str" cm="1">
        <f t="array" ref="AV69">SUBSTITUTE(INDEX($A$3:$A$15,AT69),"10","T")</f>
        <v>9</v>
      </c>
      <c r="AW69" s="71" t="str" cm="1">
        <f t="array" ref="AW69">SUBSTITUTE(INDEX($B$2:$N$2,AU69),"10","T")</f>
        <v>K</v>
      </c>
      <c r="AX69" s="91" t="str">
        <f t="shared" ref="AX69:AX132" si="2">IF(AT69=AU69,AV69&amp;AW69,IF(AU69 &gt; AT69, AV69 &amp; AW69 &amp; "s",AW69 &amp; AV69 &amp; "o"))</f>
        <v>K9o</v>
      </c>
      <c r="AY69" s="72" cm="1">
        <f t="array" ref="AY69">INDEX(starting2players,AT69,AU69)</f>
        <v>0.60189999999999999</v>
      </c>
      <c r="AZ69" s="73" cm="1">
        <f t="array" ref="AZ69">INDEX(starting3players,AT69,AU69)</f>
        <v>0.37630000000000002</v>
      </c>
      <c r="BA69" s="73" cm="1">
        <f t="array" ref="BA69">INDEX(starting4players,AT69,AU69)</f>
        <v>0.28039999999999998</v>
      </c>
      <c r="BB69" s="73" cm="1">
        <f t="array" ref="BB69">INDEX(starting5players,AT69,AU69)</f>
        <v>0.21940000000000001</v>
      </c>
      <c r="BC69" s="73" cm="1">
        <f t="array" ref="BC69">INDEX(starting6players,AT69,AU69)</f>
        <v>0.1754</v>
      </c>
      <c r="BD69" s="73" cm="1">
        <f t="array" ref="BD69">INDEX(starting7players,AT69,AU69)</f>
        <v>0.1341</v>
      </c>
      <c r="BE69" s="73" cm="1">
        <f t="array" ref="BE69">INDEX(starting8players,AT69,AU69)</f>
        <v>0.12959999999999999</v>
      </c>
      <c r="BF69" s="74" cm="1">
        <f t="array" ref="BF69">INDEX(starting9players,AT69,AU69)</f>
        <v>0.11749999999999999</v>
      </c>
    </row>
    <row r="70" spans="46:58">
      <c r="AT70" s="53">
        <v>6</v>
      </c>
      <c r="AU70" s="54">
        <v>3</v>
      </c>
      <c r="AV70" s="54" t="str" cm="1">
        <f t="array" ref="AV70">SUBSTITUTE(INDEX($A$3:$A$15,AT70),"10","T")</f>
        <v>9</v>
      </c>
      <c r="AW70" s="54" t="str" cm="1">
        <f t="array" ref="AW70">SUBSTITUTE(INDEX($B$2:$N$2,AU70),"10","T")</f>
        <v>Q</v>
      </c>
      <c r="AX70" s="92" t="str">
        <f t="shared" si="2"/>
        <v>Q9o</v>
      </c>
      <c r="AY70" s="67" cm="1">
        <f t="array" ref="AY70">INDEX(starting2players,AT70,AU70)</f>
        <v>0.57399999999999995</v>
      </c>
      <c r="AZ70" s="68" cm="1">
        <f t="array" ref="AZ70">INDEX(starting3players,AT70,AU70)</f>
        <v>0.35620000000000002</v>
      </c>
      <c r="BA70" s="68" cm="1">
        <f t="array" ref="BA70">INDEX(starting4players,AT70,AU70)</f>
        <v>0.2737</v>
      </c>
      <c r="BB70" s="68" cm="1">
        <f t="array" ref="BB70">INDEX(starting5players,AT70,AU70)</f>
        <v>0.21149999999999999</v>
      </c>
      <c r="BC70" s="68" cm="1">
        <f t="array" ref="BC70">INDEX(starting6players,AT70,AU70)</f>
        <v>0.1696</v>
      </c>
      <c r="BD70" s="68" cm="1">
        <f t="array" ref="BD70">INDEX(starting7players,AT70,AU70)</f>
        <v>0.1328</v>
      </c>
      <c r="BE70" s="68" cm="1">
        <f t="array" ref="BE70">INDEX(starting8players,AT70,AU70)</f>
        <v>0.12180000000000001</v>
      </c>
      <c r="BF70" s="69" cm="1">
        <f t="array" ref="BF70">INDEX(starting9players,AT70,AU70)</f>
        <v>0.1115</v>
      </c>
    </row>
    <row r="71" spans="46:58">
      <c r="AT71" s="70">
        <v>6</v>
      </c>
      <c r="AU71" s="71">
        <v>4</v>
      </c>
      <c r="AV71" s="71" t="str" cm="1">
        <f t="array" ref="AV71">SUBSTITUTE(INDEX($A$3:$A$15,AT71),"10","T")</f>
        <v>9</v>
      </c>
      <c r="AW71" s="71" t="str" cm="1">
        <f t="array" ref="AW71">SUBSTITUTE(INDEX($B$2:$N$2,AU71),"10","T")</f>
        <v>J</v>
      </c>
      <c r="AX71" s="91" t="str">
        <f t="shared" si="2"/>
        <v>J9o</v>
      </c>
      <c r="AY71" s="72" cm="1">
        <f t="array" ref="AY71">INDEX(starting2players,AT71,AU71)</f>
        <v>0.55300000000000005</v>
      </c>
      <c r="AZ71" s="73" cm="1">
        <f t="array" ref="AZ71">INDEX(starting3players,AT71,AU71)</f>
        <v>0.35</v>
      </c>
      <c r="BA71" s="73" cm="1">
        <f t="array" ref="BA71">INDEX(starting4players,AT71,AU71)</f>
        <v>0.25829999999999997</v>
      </c>
      <c r="BB71" s="73" cm="1">
        <f t="array" ref="BB71">INDEX(starting5players,AT71,AU71)</f>
        <v>0.20530000000000001</v>
      </c>
      <c r="BC71" s="73" cm="1">
        <f t="array" ref="BC71">INDEX(starting6players,AT71,AU71)</f>
        <v>0.16159999999999999</v>
      </c>
      <c r="BD71" s="73" cm="1">
        <f t="array" ref="BD71">INDEX(starting7players,AT71,AU71)</f>
        <v>0.13300000000000001</v>
      </c>
      <c r="BE71" s="73" cm="1">
        <f t="array" ref="BE71">INDEX(starting8players,AT71,AU71)</f>
        <v>0.1178</v>
      </c>
      <c r="BF71" s="74" cm="1">
        <f t="array" ref="BF71">INDEX(starting9players,AT71,AU71)</f>
        <v>0.108</v>
      </c>
    </row>
    <row r="72" spans="46:58">
      <c r="AT72" s="53">
        <v>6</v>
      </c>
      <c r="AU72" s="54">
        <v>5</v>
      </c>
      <c r="AV72" s="54" t="str" cm="1">
        <f t="array" ref="AV72">SUBSTITUTE(INDEX($A$3:$A$15,AT72),"10","T")</f>
        <v>9</v>
      </c>
      <c r="AW72" s="54" t="str" cm="1">
        <f t="array" ref="AW72">SUBSTITUTE(INDEX($B$2:$N$2,AU72),"10","T")</f>
        <v>T</v>
      </c>
      <c r="AX72" s="92" t="str">
        <f t="shared" si="2"/>
        <v>T9o</v>
      </c>
      <c r="AY72" s="67" cm="1">
        <f t="array" ref="AY72">INDEX(starting2players,AT72,AU72)</f>
        <v>0.53029999999999999</v>
      </c>
      <c r="AZ72" s="68" cm="1">
        <f t="array" ref="AZ72">INDEX(starting3players,AT72,AU72)</f>
        <v>0.34560000000000002</v>
      </c>
      <c r="BA72" s="68" cm="1">
        <f t="array" ref="BA72">INDEX(starting4players,AT72,AU72)</f>
        <v>0.26119999999999999</v>
      </c>
      <c r="BB72" s="68" cm="1">
        <f t="array" ref="BB72">INDEX(starting5players,AT72,AU72)</f>
        <v>0.20979999999999999</v>
      </c>
      <c r="BC72" s="68" cm="1">
        <f t="array" ref="BC72">INDEX(starting6players,AT72,AU72)</f>
        <v>0.1719</v>
      </c>
      <c r="BD72" s="68" cm="1">
        <f t="array" ref="BD72">INDEX(starting7players,AT72,AU72)</f>
        <v>0.1424</v>
      </c>
      <c r="BE72" s="68" cm="1">
        <f t="array" ref="BE72">INDEX(starting8players,AT72,AU72)</f>
        <v>0.1198</v>
      </c>
      <c r="BF72" s="69" cm="1">
        <f t="array" ref="BF72">INDEX(starting9players,AT72,AU72)</f>
        <v>0.109</v>
      </c>
    </row>
    <row r="73" spans="46:58">
      <c r="AT73" s="70">
        <v>6</v>
      </c>
      <c r="AU73" s="71">
        <v>6</v>
      </c>
      <c r="AV73" s="71" t="str" cm="1">
        <f t="array" ref="AV73">SUBSTITUTE(INDEX($A$3:$A$15,AT73),"10","T")</f>
        <v>9</v>
      </c>
      <c r="AW73" s="71" t="str" cm="1">
        <f t="array" ref="AW73">SUBSTITUTE(INDEX($B$2:$N$2,AU73),"10","T")</f>
        <v>9</v>
      </c>
      <c r="AX73" s="91" t="str">
        <f t="shared" si="2"/>
        <v>99</v>
      </c>
      <c r="AY73" s="72" cm="1">
        <f t="array" ref="AY73">INDEX(starting2players,AT73,AU73)</f>
        <v>0.77390000000000003</v>
      </c>
      <c r="AZ73" s="73" cm="1">
        <f t="array" ref="AZ73">INDEX(starting3players,AT73,AU73)</f>
        <v>0.57789999999999997</v>
      </c>
      <c r="BA73" s="73" cm="1">
        <f t="array" ref="BA73">INDEX(starting4players,AT73,AU73)</f>
        <v>0.46710000000000002</v>
      </c>
      <c r="BB73" s="73" cm="1">
        <f t="array" ref="BB73">INDEX(starting5players,AT73,AU73)</f>
        <v>0.37980000000000003</v>
      </c>
      <c r="BC73" s="73" cm="1">
        <f t="array" ref="BC73">INDEX(starting6players,AT73,AU73)</f>
        <v>0.33939999999999998</v>
      </c>
      <c r="BD73" s="73" cm="1">
        <f t="array" ref="BD73">INDEX(starting7players,AT73,AU73)</f>
        <v>0.27450000000000002</v>
      </c>
      <c r="BE73" s="73" cm="1">
        <f t="array" ref="BE73">INDEX(starting8players,AT73,AU73)</f>
        <v>0.25869999999999999</v>
      </c>
      <c r="BF73" s="74" cm="1">
        <f t="array" ref="BF73">INDEX(starting9players,AT73,AU73)</f>
        <v>0.1535</v>
      </c>
    </row>
    <row r="74" spans="46:58">
      <c r="AT74" s="53">
        <v>6</v>
      </c>
      <c r="AU74" s="54">
        <v>7</v>
      </c>
      <c r="AV74" s="54" t="str" cm="1">
        <f t="array" ref="AV74">SUBSTITUTE(INDEX($A$3:$A$15,AT74),"10","T")</f>
        <v>9</v>
      </c>
      <c r="AW74" s="54" t="str" cm="1">
        <f t="array" ref="AW74">SUBSTITUTE(INDEX($B$2:$N$2,AU74),"10","T")</f>
        <v>8</v>
      </c>
      <c r="AX74" s="92" t="str">
        <f t="shared" si="2"/>
        <v>98s</v>
      </c>
      <c r="AY74" s="67" cm="1">
        <f t="array" ref="AY74">INDEX(starting2players,AT74,AU74)</f>
        <v>0.50939999999999996</v>
      </c>
      <c r="AZ74" s="68" cm="1">
        <f t="array" ref="AZ74">INDEX(starting3players,AT74,AU74)</f>
        <v>0.34239999999999998</v>
      </c>
      <c r="BA74" s="68" cm="1">
        <f t="array" ref="BA74">INDEX(starting4players,AT74,AU74)</f>
        <v>0.26390000000000002</v>
      </c>
      <c r="BB74" s="68" cm="1">
        <f t="array" ref="BB74">INDEX(starting5players,AT74,AU74)</f>
        <v>0.21240000000000001</v>
      </c>
      <c r="BC74" s="68" cm="1">
        <f t="array" ref="BC74">INDEX(starting6players,AT74,AU74)</f>
        <v>0.1794</v>
      </c>
      <c r="BD74" s="68" cm="1">
        <f t="array" ref="BD74">INDEX(starting7players,AT74,AU74)</f>
        <v>0.14649999999999999</v>
      </c>
      <c r="BE74" s="68" cm="1">
        <f t="array" ref="BE74">INDEX(starting8players,AT74,AU74)</f>
        <v>0.13669999999999999</v>
      </c>
      <c r="BF74" s="69" cm="1">
        <f t="array" ref="BF74">INDEX(starting9players,AT74,AU74)</f>
        <v>0.12889999999999999</v>
      </c>
    </row>
    <row r="75" spans="46:58">
      <c r="AT75" s="70">
        <v>6</v>
      </c>
      <c r="AU75" s="71">
        <v>8</v>
      </c>
      <c r="AV75" s="71" t="str" cm="1">
        <f t="array" ref="AV75">SUBSTITUTE(INDEX($A$3:$A$15,AT75),"10","T")</f>
        <v>9</v>
      </c>
      <c r="AW75" s="71" t="str" cm="1">
        <f t="array" ref="AW75">SUBSTITUTE(INDEX($B$2:$N$2,AU75),"10","T")</f>
        <v>7</v>
      </c>
      <c r="AX75" s="91" t="str">
        <f t="shared" si="2"/>
        <v>97s</v>
      </c>
      <c r="AY75" s="72" cm="1">
        <f t="array" ref="AY75">INDEX(starting2players,AT75,AU75)</f>
        <v>0.4849</v>
      </c>
      <c r="AZ75" s="73" cm="1">
        <f t="array" ref="AZ75">INDEX(starting3players,AT75,AU75)</f>
        <v>0.3231</v>
      </c>
      <c r="BA75" s="73" cm="1">
        <f t="array" ref="BA75">INDEX(starting4players,AT75,AU75)</f>
        <v>0.23430000000000001</v>
      </c>
      <c r="BB75" s="73" cm="1">
        <f t="array" ref="BB75">INDEX(starting5players,AT75,AU75)</f>
        <v>0.20069999999999999</v>
      </c>
      <c r="BC75" s="73" cm="1">
        <f t="array" ref="BC75">INDEX(starting6players,AT75,AU75)</f>
        <v>0.17599999999999999</v>
      </c>
      <c r="BD75" s="73" cm="1">
        <f t="array" ref="BD75">INDEX(starting7players,AT75,AU75)</f>
        <v>0.14499999999999999</v>
      </c>
      <c r="BE75" s="73" cm="1">
        <f t="array" ref="BE75">INDEX(starting8players,AT75,AU75)</f>
        <v>0.125</v>
      </c>
      <c r="BF75" s="74" cm="1">
        <f t="array" ref="BF75">INDEX(starting9players,AT75,AU75)</f>
        <v>0.1211</v>
      </c>
    </row>
    <row r="76" spans="46:58">
      <c r="AT76" s="53">
        <v>6</v>
      </c>
      <c r="AU76" s="54">
        <v>9</v>
      </c>
      <c r="AV76" s="54" t="str" cm="1">
        <f t="array" ref="AV76">SUBSTITUTE(INDEX($A$3:$A$15,AT76),"10","T")</f>
        <v>9</v>
      </c>
      <c r="AW76" s="54" t="str" cm="1">
        <f t="array" ref="AW76">SUBSTITUTE(INDEX($B$2:$N$2,AU76),"10","T")</f>
        <v>6</v>
      </c>
      <c r="AX76" s="92" t="str">
        <f t="shared" si="2"/>
        <v>96s</v>
      </c>
      <c r="AY76" s="67" cm="1">
        <f t="array" ref="AY76">INDEX(starting2players,AT76,AU76)</f>
        <v>0.47739999999999999</v>
      </c>
      <c r="AZ76" s="68" cm="1">
        <f t="array" ref="AZ76">INDEX(starting3players,AT76,AU76)</f>
        <v>0.30080000000000001</v>
      </c>
      <c r="BA76" s="68" cm="1">
        <f t="array" ref="BA76">INDEX(starting4players,AT76,AU76)</f>
        <v>0.23069999999999999</v>
      </c>
      <c r="BB76" s="68" cm="1">
        <f t="array" ref="BB76">INDEX(starting5players,AT76,AU76)</f>
        <v>0.1883</v>
      </c>
      <c r="BC76" s="68" cm="1">
        <f t="array" ref="BC76">INDEX(starting6players,AT76,AU76)</f>
        <v>0.16159999999999999</v>
      </c>
      <c r="BD76" s="68" cm="1">
        <f t="array" ref="BD76">INDEX(starting7players,AT76,AU76)</f>
        <v>0.1283</v>
      </c>
      <c r="BE76" s="68" cm="1">
        <f t="array" ref="BE76">INDEX(starting8players,AT76,AU76)</f>
        <v>0.106</v>
      </c>
      <c r="BF76" s="69" cm="1">
        <f t="array" ref="BF76">INDEX(starting9players,AT76,AU76)</f>
        <v>0.1134</v>
      </c>
    </row>
    <row r="77" spans="46:58">
      <c r="AT77" s="70">
        <v>6</v>
      </c>
      <c r="AU77" s="71">
        <v>10</v>
      </c>
      <c r="AV77" s="71" t="str" cm="1">
        <f t="array" ref="AV77">SUBSTITUTE(INDEX($A$3:$A$15,AT77),"10","T")</f>
        <v>9</v>
      </c>
      <c r="AW77" s="71" t="str" cm="1">
        <f t="array" ref="AW77">SUBSTITUTE(INDEX($B$2:$N$2,AU77),"10","T")</f>
        <v>5</v>
      </c>
      <c r="AX77" s="91" t="str">
        <f t="shared" si="2"/>
        <v>95s</v>
      </c>
      <c r="AY77" s="72" cm="1">
        <f t="array" ref="AY77">INDEX(starting2players,AT77,AU77)</f>
        <v>0.4541</v>
      </c>
      <c r="AZ77" s="73" cm="1">
        <f t="array" ref="AZ77">INDEX(starting3players,AT77,AU77)</f>
        <v>0.28010000000000002</v>
      </c>
      <c r="BA77" s="73" cm="1">
        <f t="array" ref="BA77">INDEX(starting4players,AT77,AU77)</f>
        <v>0.20810000000000001</v>
      </c>
      <c r="BB77" s="73" cm="1">
        <f t="array" ref="BB77">INDEX(starting5players,AT77,AU77)</f>
        <v>0.16669999999999999</v>
      </c>
      <c r="BC77" s="73" cm="1">
        <f t="array" ref="BC77">INDEX(starting6players,AT77,AU77)</f>
        <v>0.14360000000000001</v>
      </c>
      <c r="BD77" s="73" cm="1">
        <f t="array" ref="BD77">INDEX(starting7players,AT77,AU77)</f>
        <v>0.1162</v>
      </c>
      <c r="BE77" s="73" cm="1">
        <f t="array" ref="BE77">INDEX(starting8players,AT77,AU77)</f>
        <v>0.10249999999999999</v>
      </c>
      <c r="BF77" s="74" cm="1">
        <f t="array" ref="BF77">INDEX(starting9players,AT77,AU77)</f>
        <v>9.4500000000000001E-2</v>
      </c>
    </row>
    <row r="78" spans="46:58">
      <c r="AT78" s="53">
        <v>6</v>
      </c>
      <c r="AU78" s="54">
        <v>11</v>
      </c>
      <c r="AV78" s="54" t="str" cm="1">
        <f t="array" ref="AV78">SUBSTITUTE(INDEX($A$3:$A$15,AT78),"10","T")</f>
        <v>9</v>
      </c>
      <c r="AW78" s="54" t="str" cm="1">
        <f t="array" ref="AW78">SUBSTITUTE(INDEX($B$2:$N$2,AU78),"10","T")</f>
        <v>4</v>
      </c>
      <c r="AX78" s="92" t="str">
        <f t="shared" si="2"/>
        <v>94s</v>
      </c>
      <c r="AY78" s="67" cm="1">
        <f t="array" ref="AY78">INDEX(starting2players,AT78,AU78)</f>
        <v>0.4173</v>
      </c>
      <c r="AZ78" s="68" cm="1">
        <f t="array" ref="AZ78">INDEX(starting3players,AT78,AU78)</f>
        <v>0.2631</v>
      </c>
      <c r="BA78" s="68" cm="1">
        <f t="array" ref="BA78">INDEX(starting4players,AT78,AU78)</f>
        <v>0.1948</v>
      </c>
      <c r="BB78" s="68" cm="1">
        <f t="array" ref="BB78">INDEX(starting5players,AT78,AU78)</f>
        <v>0.15</v>
      </c>
      <c r="BC78" s="68" cm="1">
        <f t="array" ref="BC78">INDEX(starting6players,AT78,AU78)</f>
        <v>0.12989999999999999</v>
      </c>
      <c r="BD78" s="68" cm="1">
        <f t="array" ref="BD78">INDEX(starting7players,AT78,AU78)</f>
        <v>9.6000000000000002E-2</v>
      </c>
      <c r="BE78" s="68" cm="1">
        <f t="array" ref="BE78">INDEX(starting8players,AT78,AU78)</f>
        <v>8.6099999999999996E-2</v>
      </c>
      <c r="BF78" s="69" cm="1">
        <f t="array" ref="BF78">INDEX(starting9players,AT78,AU78)</f>
        <v>8.1600000000000006E-2</v>
      </c>
    </row>
    <row r="79" spans="46:58">
      <c r="AT79" s="70">
        <v>6</v>
      </c>
      <c r="AU79" s="71">
        <v>12</v>
      </c>
      <c r="AV79" s="71" t="str" cm="1">
        <f t="array" ref="AV79">SUBSTITUTE(INDEX($A$3:$A$15,AT79),"10","T")</f>
        <v>9</v>
      </c>
      <c r="AW79" s="71" t="str" cm="1">
        <f t="array" ref="AW79">SUBSTITUTE(INDEX($B$2:$N$2,AU79),"10","T")</f>
        <v>3</v>
      </c>
      <c r="AX79" s="91" t="str">
        <f t="shared" si="2"/>
        <v>93s</v>
      </c>
      <c r="AY79" s="72" cm="1">
        <f t="array" ref="AY79">INDEX(starting2players,AT79,AU79)</f>
        <v>0.42330000000000001</v>
      </c>
      <c r="AZ79" s="73" cm="1">
        <f t="array" ref="AZ79">INDEX(starting3players,AT79,AU79)</f>
        <v>0.25490000000000002</v>
      </c>
      <c r="BA79" s="73" cm="1">
        <f t="array" ref="BA79">INDEX(starting4players,AT79,AU79)</f>
        <v>0.1928</v>
      </c>
      <c r="BB79" s="73" cm="1">
        <f t="array" ref="BB79">INDEX(starting5players,AT79,AU79)</f>
        <v>0.15459999999999999</v>
      </c>
      <c r="BC79" s="73" cm="1">
        <f t="array" ref="BC79">INDEX(starting6players,AT79,AU79)</f>
        <v>0.12659999999999999</v>
      </c>
      <c r="BD79" s="73" cm="1">
        <f t="array" ref="BD79">INDEX(starting7players,AT79,AU79)</f>
        <v>9.2399999999999996E-2</v>
      </c>
      <c r="BE79" s="73" cm="1">
        <f t="array" ref="BE79">INDEX(starting8players,AT79,AU79)</f>
        <v>8.7300000000000003E-2</v>
      </c>
      <c r="BF79" s="74" cm="1">
        <f t="array" ref="BF79">INDEX(starting9players,AT79,AU79)</f>
        <v>8.7900000000000006E-2</v>
      </c>
    </row>
    <row r="80" spans="46:58">
      <c r="AT80" s="53">
        <v>6</v>
      </c>
      <c r="AU80" s="54">
        <v>13</v>
      </c>
      <c r="AV80" s="54" t="str" cm="1">
        <f t="array" ref="AV80">SUBSTITUTE(INDEX($A$3:$A$15,AT80),"10","T")</f>
        <v>9</v>
      </c>
      <c r="AW80" s="54" t="str" cm="1">
        <f t="array" ref="AW80">SUBSTITUTE(INDEX($B$2:$N$2,AU80),"10","T")</f>
        <v>2</v>
      </c>
      <c r="AX80" s="92" t="str">
        <f t="shared" si="2"/>
        <v>92s</v>
      </c>
      <c r="AY80" s="67" cm="1">
        <f t="array" ref="AY80">INDEX(starting2players,AT80,AU80)</f>
        <v>0.41920000000000002</v>
      </c>
      <c r="AZ80" s="68" cm="1">
        <f t="array" ref="AZ80">INDEX(starting3players,AT80,AU80)</f>
        <v>0.25130000000000002</v>
      </c>
      <c r="BA80" s="68" cm="1">
        <f t="array" ref="BA80">INDEX(starting4players,AT80,AU80)</f>
        <v>0.1744</v>
      </c>
      <c r="BB80" s="68" cm="1">
        <f t="array" ref="BB80">INDEX(starting5players,AT80,AU80)</f>
        <v>0.14929999999999999</v>
      </c>
      <c r="BC80" s="68" cm="1">
        <f t="array" ref="BC80">INDEX(starting6players,AT80,AU80)</f>
        <v>0.122</v>
      </c>
      <c r="BD80" s="68" cm="1">
        <f t="array" ref="BD80">INDEX(starting7players,AT80,AU80)</f>
        <v>0.10290000000000001</v>
      </c>
      <c r="BE80" s="68" cm="1">
        <f t="array" ref="BE80">INDEX(starting8players,AT80,AU80)</f>
        <v>9.0399999999999994E-2</v>
      </c>
      <c r="BF80" s="69" cm="1">
        <f t="array" ref="BF80">INDEX(starting9players,AT80,AU80)</f>
        <v>8.9399999999999993E-2</v>
      </c>
    </row>
    <row r="81" spans="46:58">
      <c r="AT81" s="70">
        <v>7</v>
      </c>
      <c r="AU81" s="71">
        <v>1</v>
      </c>
      <c r="AV81" s="71" t="str" cm="1">
        <f t="array" ref="AV81">SUBSTITUTE(INDEX($A$3:$A$15,AT81),"10","T")</f>
        <v>8</v>
      </c>
      <c r="AW81" s="71" t="str" cm="1">
        <f t="array" ref="AW81">SUBSTITUTE(INDEX($B$2:$N$2,AU81),"10","T")</f>
        <v>A</v>
      </c>
      <c r="AX81" s="91" t="str">
        <f t="shared" si="2"/>
        <v>A8o</v>
      </c>
      <c r="AY81" s="72" cm="1">
        <f t="array" ref="AY81">INDEX(starting2players,AT81,AU81)</f>
        <v>0.60699999999999998</v>
      </c>
      <c r="AZ81" s="73" cm="1">
        <f t="array" ref="AZ81">INDEX(starting3players,AT81,AU81)</f>
        <v>0.378</v>
      </c>
      <c r="BA81" s="73" cm="1">
        <f t="array" ref="BA81">INDEX(starting4players,AT81,AU81)</f>
        <v>0.26989999999999997</v>
      </c>
      <c r="BB81" s="73" cm="1">
        <f t="array" ref="BB81">INDEX(starting5players,AT81,AU81)</f>
        <v>0.21540000000000001</v>
      </c>
      <c r="BC81" s="73" cm="1">
        <f t="array" ref="BC81">INDEX(starting6players,AT81,AU81)</f>
        <v>0.18099999999999999</v>
      </c>
      <c r="BD81" s="73" cm="1">
        <f t="array" ref="BD81">INDEX(starting7players,AT81,AU81)</f>
        <v>0.1258</v>
      </c>
      <c r="BE81" s="73" cm="1">
        <f t="array" ref="BE81">INDEX(starting8players,AT81,AU81)</f>
        <v>0.11550000000000001</v>
      </c>
      <c r="BF81" s="74" cm="1">
        <f t="array" ref="BF81">INDEX(starting9players,AT81,AU81)</f>
        <v>0.1031</v>
      </c>
    </row>
    <row r="82" spans="46:58">
      <c r="AT82" s="53">
        <v>7</v>
      </c>
      <c r="AU82" s="54">
        <v>2</v>
      </c>
      <c r="AV82" s="54" t="str" cm="1">
        <f t="array" ref="AV82">SUBSTITUTE(INDEX($A$3:$A$15,AT82),"10","T")</f>
        <v>8</v>
      </c>
      <c r="AW82" s="54" t="str" cm="1">
        <f t="array" ref="AW82">SUBSTITUTE(INDEX($B$2:$N$2,AU82),"10","T")</f>
        <v>K</v>
      </c>
      <c r="AX82" s="92" t="str">
        <f t="shared" si="2"/>
        <v>K8o</v>
      </c>
      <c r="AY82" s="67" cm="1">
        <f t="array" ref="AY82">INDEX(starting2players,AT82,AU82)</f>
        <v>0.56610000000000005</v>
      </c>
      <c r="AZ82" s="68" cm="1">
        <f t="array" ref="AZ82">INDEX(starting3players,AT82,AU82)</f>
        <v>0.35389999999999999</v>
      </c>
      <c r="BA82" s="68" cm="1">
        <f t="array" ref="BA82">INDEX(starting4players,AT82,AU82)</f>
        <v>0.25230000000000002</v>
      </c>
      <c r="BB82" s="68" cm="1">
        <f t="array" ref="BB82">INDEX(starting5players,AT82,AU82)</f>
        <v>0.19159999999999999</v>
      </c>
      <c r="BC82" s="68" cm="1">
        <f t="array" ref="BC82">INDEX(starting6players,AT82,AU82)</f>
        <v>0.15640000000000001</v>
      </c>
      <c r="BD82" s="68" cm="1">
        <f t="array" ref="BD82">INDEX(starting7players,AT82,AU82)</f>
        <v>0.1056</v>
      </c>
      <c r="BE82" s="68" cm="1">
        <f t="array" ref="BE82">INDEX(starting8players,AT82,AU82)</f>
        <v>0.1079</v>
      </c>
      <c r="BF82" s="69" cm="1">
        <f t="array" ref="BF82">INDEX(starting9players,AT82,AU82)</f>
        <v>9.0200000000000002E-2</v>
      </c>
    </row>
    <row r="83" spans="46:58">
      <c r="AT83" s="70">
        <v>7</v>
      </c>
      <c r="AU83" s="71">
        <v>3</v>
      </c>
      <c r="AV83" s="71" t="str" cm="1">
        <f t="array" ref="AV83">SUBSTITUTE(INDEX($A$3:$A$15,AT83),"10","T")</f>
        <v>8</v>
      </c>
      <c r="AW83" s="71" t="str" cm="1">
        <f t="array" ref="AW83">SUBSTITUTE(INDEX($B$2:$N$2,AU83),"10","T")</f>
        <v>Q</v>
      </c>
      <c r="AX83" s="91" t="str">
        <f t="shared" si="2"/>
        <v>Q8o</v>
      </c>
      <c r="AY83" s="72" cm="1">
        <f t="array" ref="AY83">INDEX(starting2players,AT83,AU83)</f>
        <v>0.55079999999999996</v>
      </c>
      <c r="AZ83" s="73" cm="1">
        <f t="array" ref="AZ83">INDEX(starting3players,AT83,AU83)</f>
        <v>0.34060000000000001</v>
      </c>
      <c r="BA83" s="73" cm="1">
        <f t="array" ref="BA83">INDEX(starting4players,AT83,AU83)</f>
        <v>0.2419</v>
      </c>
      <c r="BB83" s="73" cm="1">
        <f t="array" ref="BB83">INDEX(starting5players,AT83,AU83)</f>
        <v>0.18729999999999999</v>
      </c>
      <c r="BC83" s="73" cm="1">
        <f t="array" ref="BC83">INDEX(starting6players,AT83,AU83)</f>
        <v>0.15479999999999999</v>
      </c>
      <c r="BD83" s="73" cm="1">
        <f t="array" ref="BD83">INDEX(starting7players,AT83,AU83)</f>
        <v>0.10730000000000001</v>
      </c>
      <c r="BE83" s="73" cm="1">
        <f t="array" ref="BE83">INDEX(starting8players,AT83,AU83)</f>
        <v>0.108</v>
      </c>
      <c r="BF83" s="74" cm="1">
        <f t="array" ref="BF83">INDEX(starting9players,AT83,AU83)</f>
        <v>8.4099999999999994E-2</v>
      </c>
    </row>
    <row r="84" spans="46:58">
      <c r="AT84" s="53">
        <v>7</v>
      </c>
      <c r="AU84" s="54">
        <v>4</v>
      </c>
      <c r="AV84" s="54" t="str" cm="1">
        <f t="array" ref="AV84">SUBSTITUTE(INDEX($A$3:$A$15,AT84),"10","T")</f>
        <v>8</v>
      </c>
      <c r="AW84" s="54" t="str" cm="1">
        <f t="array" ref="AW84">SUBSTITUTE(INDEX($B$2:$N$2,AU84),"10","T")</f>
        <v>J</v>
      </c>
      <c r="AX84" s="92" t="str">
        <f t="shared" si="2"/>
        <v>J8o</v>
      </c>
      <c r="AY84" s="67" cm="1">
        <f t="array" ref="AY84">INDEX(starting2players,AT84,AU84)</f>
        <v>0.52370000000000005</v>
      </c>
      <c r="AZ84" s="68" cm="1">
        <f t="array" ref="AZ84">INDEX(starting3players,AT84,AU84)</f>
        <v>0.32119999999999999</v>
      </c>
      <c r="BA84" s="68" cm="1">
        <f t="array" ref="BA84">INDEX(starting4players,AT84,AU84)</f>
        <v>0.2326</v>
      </c>
      <c r="BB84" s="68" cm="1">
        <f t="array" ref="BB84">INDEX(starting5players,AT84,AU84)</f>
        <v>0.18579999999999999</v>
      </c>
      <c r="BC84" s="68" cm="1">
        <f t="array" ref="BC84">INDEX(starting6players,AT84,AU84)</f>
        <v>0.1542</v>
      </c>
      <c r="BD84" s="68" cm="1">
        <f t="array" ref="BD84">INDEX(starting7players,AT84,AU84)</f>
        <v>0.1138</v>
      </c>
      <c r="BE84" s="68" cm="1">
        <f t="array" ref="BE84">INDEX(starting8players,AT84,AU84)</f>
        <v>0.10539999999999999</v>
      </c>
      <c r="BF84" s="69" cm="1">
        <f t="array" ref="BF84">INDEX(starting9players,AT84,AU84)</f>
        <v>8.9399999999999993E-2</v>
      </c>
    </row>
    <row r="85" spans="46:58">
      <c r="AT85" s="70">
        <v>7</v>
      </c>
      <c r="AU85" s="71">
        <v>5</v>
      </c>
      <c r="AV85" s="71" t="str" cm="1">
        <f t="array" ref="AV85">SUBSTITUTE(INDEX($A$3:$A$15,AT85),"10","T")</f>
        <v>8</v>
      </c>
      <c r="AW85" s="71" t="str" cm="1">
        <f t="array" ref="AW85">SUBSTITUTE(INDEX($B$2:$N$2,AU85),"10","T")</f>
        <v>T</v>
      </c>
      <c r="AX85" s="91" t="str">
        <f t="shared" si="2"/>
        <v>T8o</v>
      </c>
      <c r="AY85" s="72" cm="1">
        <f t="array" ref="AY85">INDEX(starting2players,AT85,AU85)</f>
        <v>0.5131</v>
      </c>
      <c r="AZ85" s="73" cm="1">
        <f t="array" ref="AZ85">INDEX(starting3players,AT85,AU85)</f>
        <v>0.31869999999999998</v>
      </c>
      <c r="BA85" s="73" cm="1">
        <f t="array" ref="BA85">INDEX(starting4players,AT85,AU85)</f>
        <v>0.2321</v>
      </c>
      <c r="BB85" s="73" cm="1">
        <f t="array" ref="BB85">INDEX(starting5players,AT85,AU85)</f>
        <v>0.18690000000000001</v>
      </c>
      <c r="BC85" s="73" cm="1">
        <f t="array" ref="BC85">INDEX(starting6players,AT85,AU85)</f>
        <v>0.15079999999999999</v>
      </c>
      <c r="BD85" s="73" cm="1">
        <f t="array" ref="BD85">INDEX(starting7players,AT85,AU85)</f>
        <v>0.1177</v>
      </c>
      <c r="BE85" s="73" cm="1">
        <f t="array" ref="BE85">INDEX(starting8players,AT85,AU85)</f>
        <v>0.1061</v>
      </c>
      <c r="BF85" s="74" cm="1">
        <f t="array" ref="BF85">INDEX(starting9players,AT85,AU85)</f>
        <v>9.4799999999999995E-2</v>
      </c>
    </row>
    <row r="86" spans="46:58">
      <c r="AT86" s="53">
        <v>7</v>
      </c>
      <c r="AU86" s="54">
        <v>6</v>
      </c>
      <c r="AV86" s="54" t="str" cm="1">
        <f t="array" ref="AV86">SUBSTITUTE(INDEX($A$3:$A$15,AT86),"10","T")</f>
        <v>8</v>
      </c>
      <c r="AW86" s="54" t="str" cm="1">
        <f t="array" ref="AW86">SUBSTITUTE(INDEX($B$2:$N$2,AU86),"10","T")</f>
        <v>9</v>
      </c>
      <c r="AX86" s="92" t="str">
        <f t="shared" si="2"/>
        <v>98o</v>
      </c>
      <c r="AY86" s="67" cm="1">
        <f t="array" ref="AY86">INDEX(starting2players,AT86,AU86)</f>
        <v>0.49080000000000001</v>
      </c>
      <c r="AZ86" s="68" cm="1">
        <f t="array" ref="AZ86">INDEX(starting3players,AT86,AU86)</f>
        <v>0.30330000000000001</v>
      </c>
      <c r="BA86" s="68" cm="1">
        <f t="array" ref="BA86">INDEX(starting4players,AT86,AU86)</f>
        <v>0.2258</v>
      </c>
      <c r="BB86" s="68" cm="1">
        <f t="array" ref="BB86">INDEX(starting5players,AT86,AU86)</f>
        <v>0.1797</v>
      </c>
      <c r="BC86" s="68" cm="1">
        <f t="array" ref="BC86">INDEX(starting6players,AT86,AU86)</f>
        <v>0.14810000000000001</v>
      </c>
      <c r="BD86" s="68" cm="1">
        <f t="array" ref="BD86">INDEX(starting7players,AT86,AU86)</f>
        <v>0.1157</v>
      </c>
      <c r="BE86" s="68" cm="1">
        <f t="array" ref="BE86">INDEX(starting8players,AT86,AU86)</f>
        <v>9.7199999999999995E-2</v>
      </c>
      <c r="BF86" s="69" cm="1">
        <f t="array" ref="BF86">INDEX(starting9players,AT86,AU86)</f>
        <v>8.7499999999999994E-2</v>
      </c>
    </row>
    <row r="87" spans="46:58">
      <c r="AT87" s="70">
        <v>7</v>
      </c>
      <c r="AU87" s="71">
        <v>7</v>
      </c>
      <c r="AV87" s="71" t="str" cm="1">
        <f t="array" ref="AV87">SUBSTITUTE(INDEX($A$3:$A$15,AT87),"10","T")</f>
        <v>8</v>
      </c>
      <c r="AW87" s="71" t="str" cm="1">
        <f t="array" ref="AW87">SUBSTITUTE(INDEX($B$2:$N$2,AU87),"10","T")</f>
        <v>8</v>
      </c>
      <c r="AX87" s="91" t="str">
        <f t="shared" si="2"/>
        <v>88</v>
      </c>
      <c r="AY87" s="72" cm="1">
        <f t="array" ref="AY87">INDEX(starting2players,AT87,AU87)</f>
        <v>0.76180000000000003</v>
      </c>
      <c r="AZ87" s="73" cm="1">
        <f t="array" ref="AZ87">INDEX(starting3players,AT87,AU87)</f>
        <v>0.55369999999999997</v>
      </c>
      <c r="BA87" s="73" cm="1">
        <f t="array" ref="BA87">INDEX(starting4players,AT87,AU87)</f>
        <v>0.43230000000000002</v>
      </c>
      <c r="BB87" s="73" cm="1">
        <f t="array" ref="BB87">INDEX(starting5players,AT87,AU87)</f>
        <v>0.37659999999999999</v>
      </c>
      <c r="BC87" s="73" cm="1">
        <f t="array" ref="BC87">INDEX(starting6players,AT87,AU87)</f>
        <v>0.31759999999999999</v>
      </c>
      <c r="BD87" s="73" cm="1">
        <f t="array" ref="BD87">INDEX(starting7players,AT87,AU87)</f>
        <v>0.2787</v>
      </c>
      <c r="BE87" s="73" cm="1">
        <f t="array" ref="BE87">INDEX(starting8players,AT87,AU87)</f>
        <v>0.24099999999999999</v>
      </c>
      <c r="BF87" s="74" cm="1">
        <f t="array" ref="BF87">INDEX(starting9players,AT87,AU87)</f>
        <v>0.1487</v>
      </c>
    </row>
    <row r="88" spans="46:58">
      <c r="AT88" s="53">
        <v>7</v>
      </c>
      <c r="AU88" s="54">
        <v>8</v>
      </c>
      <c r="AV88" s="54" t="str" cm="1">
        <f t="array" ref="AV88">SUBSTITUTE(INDEX($A$3:$A$15,AT88),"10","T")</f>
        <v>8</v>
      </c>
      <c r="AW88" s="54" t="str" cm="1">
        <f t="array" ref="AW88">SUBSTITUTE(INDEX($B$2:$N$2,AU88),"10","T")</f>
        <v>7</v>
      </c>
      <c r="AX88" s="92" t="str">
        <f t="shared" si="2"/>
        <v>87s</v>
      </c>
      <c r="AY88" s="67" cm="1">
        <f t="array" ref="AY88">INDEX(starting2players,AT88,AU88)</f>
        <v>0.46839999999999998</v>
      </c>
      <c r="AZ88" s="68" cm="1">
        <f t="array" ref="AZ88">INDEX(starting3players,AT88,AU88)</f>
        <v>0.30780000000000002</v>
      </c>
      <c r="BA88" s="68" cm="1">
        <f t="array" ref="BA88">INDEX(starting4players,AT88,AU88)</f>
        <v>0.23930000000000001</v>
      </c>
      <c r="BB88" s="68" cm="1">
        <f t="array" ref="BB88">INDEX(starting5players,AT88,AU88)</f>
        <v>0.19919999999999999</v>
      </c>
      <c r="BC88" s="68" cm="1">
        <f t="array" ref="BC88">INDEX(starting6players,AT88,AU88)</f>
        <v>0.17330000000000001</v>
      </c>
      <c r="BD88" s="68" cm="1">
        <f t="array" ref="BD88">INDEX(starting7players,AT88,AU88)</f>
        <v>0.14330000000000001</v>
      </c>
      <c r="BE88" s="68" cm="1">
        <f t="array" ref="BE88">INDEX(starting8players,AT88,AU88)</f>
        <v>0.1249</v>
      </c>
      <c r="BF88" s="69" cm="1">
        <f t="array" ref="BF88">INDEX(starting9players,AT88,AU88)</f>
        <v>0.1217</v>
      </c>
    </row>
    <row r="89" spans="46:58">
      <c r="AT89" s="70">
        <v>7</v>
      </c>
      <c r="AU89" s="71">
        <v>9</v>
      </c>
      <c r="AV89" s="71" t="str" cm="1">
        <f t="array" ref="AV89">SUBSTITUTE(INDEX($A$3:$A$15,AT89),"10","T")</f>
        <v>8</v>
      </c>
      <c r="AW89" s="71" t="str" cm="1">
        <f t="array" ref="AW89">SUBSTITUTE(INDEX($B$2:$N$2,AU89),"10","T")</f>
        <v>6</v>
      </c>
      <c r="AX89" s="91" t="str">
        <f t="shared" si="2"/>
        <v>86s</v>
      </c>
      <c r="AY89" s="72" cm="1">
        <f t="array" ref="AY89">INDEX(starting2players,AT89,AU89)</f>
        <v>0.45879999999999999</v>
      </c>
      <c r="AZ89" s="73" cm="1">
        <f t="array" ref="AZ89">INDEX(starting3players,AT89,AU89)</f>
        <v>0.2913</v>
      </c>
      <c r="BA89" s="73" cm="1">
        <f t="array" ref="BA89">INDEX(starting4players,AT89,AU89)</f>
        <v>0.21479999999999999</v>
      </c>
      <c r="BB89" s="73" cm="1">
        <f t="array" ref="BB89">INDEX(starting5players,AT89,AU89)</f>
        <v>0.18740000000000001</v>
      </c>
      <c r="BC89" s="73" cm="1">
        <f t="array" ref="BC89">INDEX(starting6players,AT89,AU89)</f>
        <v>0.1633</v>
      </c>
      <c r="BD89" s="73" cm="1">
        <f t="array" ref="BD89">INDEX(starting7players,AT89,AU89)</f>
        <v>0.1237</v>
      </c>
      <c r="BE89" s="73" cm="1">
        <f t="array" ref="BE89">INDEX(starting8players,AT89,AU89)</f>
        <v>0.1166</v>
      </c>
      <c r="BF89" s="74" cm="1">
        <f t="array" ref="BF89">INDEX(starting9players,AT89,AU89)</f>
        <v>0.1159</v>
      </c>
    </row>
    <row r="90" spans="46:58">
      <c r="AT90" s="53">
        <v>7</v>
      </c>
      <c r="AU90" s="54">
        <v>10</v>
      </c>
      <c r="AV90" s="54" t="str" cm="1">
        <f t="array" ref="AV90">SUBSTITUTE(INDEX($A$3:$A$15,AT90),"10","T")</f>
        <v>8</v>
      </c>
      <c r="AW90" s="54" t="str" cm="1">
        <f t="array" ref="AW90">SUBSTITUTE(INDEX($B$2:$N$2,AU90),"10","T")</f>
        <v>5</v>
      </c>
      <c r="AX90" s="92" t="str">
        <f t="shared" si="2"/>
        <v>85s</v>
      </c>
      <c r="AY90" s="67" cm="1">
        <f t="array" ref="AY90">INDEX(starting2players,AT90,AU90)</f>
        <v>0.43459999999999999</v>
      </c>
      <c r="AZ90" s="68" cm="1">
        <f t="array" ref="AZ90">INDEX(starting3players,AT90,AU90)</f>
        <v>0.28560000000000002</v>
      </c>
      <c r="BA90" s="68" cm="1">
        <f t="array" ref="BA90">INDEX(starting4players,AT90,AU90)</f>
        <v>0.2172</v>
      </c>
      <c r="BB90" s="68" cm="1">
        <f t="array" ref="BB90">INDEX(starting5players,AT90,AU90)</f>
        <v>0.18629999999999999</v>
      </c>
      <c r="BC90" s="68" cm="1">
        <f t="array" ref="BC90">INDEX(starting6players,AT90,AU90)</f>
        <v>0.14860000000000001</v>
      </c>
      <c r="BD90" s="68" cm="1">
        <f t="array" ref="BD90">INDEX(starting7players,AT90,AU90)</f>
        <v>0.12570000000000001</v>
      </c>
      <c r="BE90" s="68" cm="1">
        <f t="array" ref="BE90">INDEX(starting8players,AT90,AU90)</f>
        <v>0.10929999999999999</v>
      </c>
      <c r="BF90" s="69" cm="1">
        <f t="array" ref="BF90">INDEX(starting9players,AT90,AU90)</f>
        <v>0.1041</v>
      </c>
    </row>
    <row r="91" spans="46:58">
      <c r="AT91" s="70">
        <v>7</v>
      </c>
      <c r="AU91" s="71">
        <v>11</v>
      </c>
      <c r="AV91" s="71" t="str" cm="1">
        <f t="array" ref="AV91">SUBSTITUTE(INDEX($A$3:$A$15,AT91),"10","T")</f>
        <v>8</v>
      </c>
      <c r="AW91" s="71" t="str" cm="1">
        <f t="array" ref="AW91">SUBSTITUTE(INDEX($B$2:$N$2,AU91),"10","T")</f>
        <v>4</v>
      </c>
      <c r="AX91" s="91" t="str">
        <f t="shared" si="2"/>
        <v>84s</v>
      </c>
      <c r="AY91" s="72" cm="1">
        <f t="array" ref="AY91">INDEX(starting2players,AT91,AU91)</f>
        <v>0.41299999999999998</v>
      </c>
      <c r="AZ91" s="73" cm="1">
        <f t="array" ref="AZ91">INDEX(starting3players,AT91,AU91)</f>
        <v>0.25530000000000003</v>
      </c>
      <c r="BA91" s="73" cm="1">
        <f t="array" ref="BA91">INDEX(starting4players,AT91,AU91)</f>
        <v>0.1973</v>
      </c>
      <c r="BB91" s="73" cm="1">
        <f t="array" ref="BB91">INDEX(starting5players,AT91,AU91)</f>
        <v>0.15379999999999999</v>
      </c>
      <c r="BC91" s="73" cm="1">
        <f t="array" ref="BC91">INDEX(starting6players,AT91,AU91)</f>
        <v>0.12559999999999999</v>
      </c>
      <c r="BD91" s="73" cm="1">
        <f t="array" ref="BD91">INDEX(starting7players,AT91,AU91)</f>
        <v>0.1026</v>
      </c>
      <c r="BE91" s="73" cm="1">
        <f t="array" ref="BE91">INDEX(starting8players,AT91,AU91)</f>
        <v>9.9599999999999994E-2</v>
      </c>
      <c r="BF91" s="74" cm="1">
        <f t="array" ref="BF91">INDEX(starting9players,AT91,AU91)</f>
        <v>9.2100000000000001E-2</v>
      </c>
    </row>
    <row r="92" spans="46:58">
      <c r="AT92" s="53">
        <v>7</v>
      </c>
      <c r="AU92" s="54">
        <v>12</v>
      </c>
      <c r="AV92" s="54" t="str" cm="1">
        <f t="array" ref="AV92">SUBSTITUTE(INDEX($A$3:$A$15,AT92),"10","T")</f>
        <v>8</v>
      </c>
      <c r="AW92" s="54" t="str" cm="1">
        <f t="array" ref="AW92">SUBSTITUTE(INDEX($B$2:$N$2,AU92),"10","T")</f>
        <v>3</v>
      </c>
      <c r="AX92" s="92" t="str">
        <f t="shared" si="2"/>
        <v>83s</v>
      </c>
      <c r="AY92" s="67" cm="1">
        <f t="array" ref="AY92">INDEX(starting2players,AT92,AU92)</f>
        <v>0.38740000000000002</v>
      </c>
      <c r="AZ92" s="68" cm="1">
        <f t="array" ref="AZ92">INDEX(starting3players,AT92,AU92)</f>
        <v>0.2409</v>
      </c>
      <c r="BA92" s="68" cm="1">
        <f t="array" ref="BA92">INDEX(starting4players,AT92,AU92)</f>
        <v>0.1721</v>
      </c>
      <c r="BB92" s="68" cm="1">
        <f t="array" ref="BB92">INDEX(starting5players,AT92,AU92)</f>
        <v>0.13819999999999999</v>
      </c>
      <c r="BC92" s="68" cm="1">
        <f t="array" ref="BC92">INDEX(starting6players,AT92,AU92)</f>
        <v>0.12609999999999999</v>
      </c>
      <c r="BD92" s="68" cm="1">
        <f t="array" ref="BD92">INDEX(starting7players,AT92,AU92)</f>
        <v>9.0499999999999997E-2</v>
      </c>
      <c r="BE92" s="68" cm="1">
        <f t="array" ref="BE92">INDEX(starting8players,AT92,AU92)</f>
        <v>8.6800000000000002E-2</v>
      </c>
      <c r="BF92" s="69" cm="1">
        <f t="array" ref="BF92">INDEX(starting9players,AT92,AU92)</f>
        <v>8.4699999999999998E-2</v>
      </c>
    </row>
    <row r="93" spans="46:58">
      <c r="AT93" s="70">
        <v>7</v>
      </c>
      <c r="AU93" s="71">
        <v>13</v>
      </c>
      <c r="AV93" s="71" t="str" cm="1">
        <f t="array" ref="AV93">SUBSTITUTE(INDEX($A$3:$A$15,AT93),"10","T")</f>
        <v>8</v>
      </c>
      <c r="AW93" s="71" t="str" cm="1">
        <f t="array" ref="AW93">SUBSTITUTE(INDEX($B$2:$N$2,AU93),"10","T")</f>
        <v>2</v>
      </c>
      <c r="AX93" s="91" t="str">
        <f t="shared" si="2"/>
        <v>82s</v>
      </c>
      <c r="AY93" s="72" cm="1">
        <f t="array" ref="AY93">INDEX(starting2players,AT93,AU93)</f>
        <v>0.39419999999999999</v>
      </c>
      <c r="AZ93" s="73" cm="1">
        <f t="array" ref="AZ93">INDEX(starting3players,AT93,AU93)</f>
        <v>0.2384</v>
      </c>
      <c r="BA93" s="73" cm="1">
        <f t="array" ref="BA93">INDEX(starting4players,AT93,AU93)</f>
        <v>0.17580000000000001</v>
      </c>
      <c r="BB93" s="73" cm="1">
        <f t="array" ref="BB93">INDEX(starting5players,AT93,AU93)</f>
        <v>0.14729999999999999</v>
      </c>
      <c r="BC93" s="73" cm="1">
        <f t="array" ref="BC93">INDEX(starting6players,AT93,AU93)</f>
        <v>0.1187</v>
      </c>
      <c r="BD93" s="73" cm="1">
        <f t="array" ref="BD93">INDEX(starting7players,AT93,AU93)</f>
        <v>8.5800000000000001E-2</v>
      </c>
      <c r="BE93" s="73" cm="1">
        <f t="array" ref="BE93">INDEX(starting8players,AT93,AU93)</f>
        <v>8.3099999999999993E-2</v>
      </c>
      <c r="BF93" s="74" cm="1">
        <f t="array" ref="BF93">INDEX(starting9players,AT93,AU93)</f>
        <v>8.0299999999999996E-2</v>
      </c>
    </row>
    <row r="94" spans="46:58">
      <c r="AT94" s="53">
        <v>8</v>
      </c>
      <c r="AU94" s="54">
        <v>1</v>
      </c>
      <c r="AV94" s="54" t="str" cm="1">
        <f t="array" ref="AV94">SUBSTITUTE(INDEX($A$3:$A$15,AT94),"10","T")</f>
        <v>7</v>
      </c>
      <c r="AW94" s="54" t="str" cm="1">
        <f t="array" ref="AW94">SUBSTITUTE(INDEX($B$2:$N$2,AU94),"10","T")</f>
        <v>A</v>
      </c>
      <c r="AX94" s="92" t="str">
        <f t="shared" si="2"/>
        <v>A7o</v>
      </c>
      <c r="AY94" s="67" cm="1">
        <f t="array" ref="AY94">INDEX(starting2players,AT94,AU94)</f>
        <v>0.59499999999999997</v>
      </c>
      <c r="AZ94" s="68" cm="1">
        <f t="array" ref="AZ94">INDEX(starting3players,AT94,AU94)</f>
        <v>0.35720000000000002</v>
      </c>
      <c r="BA94" s="68" cm="1">
        <f t="array" ref="BA94">INDEX(starting4players,AT94,AU94)</f>
        <v>0.25530000000000003</v>
      </c>
      <c r="BB94" s="68" cm="1">
        <f t="array" ref="BB94">INDEX(starting5players,AT94,AU94)</f>
        <v>0.20130000000000001</v>
      </c>
      <c r="BC94" s="68" cm="1">
        <f t="array" ref="BC94">INDEX(starting6players,AT94,AU94)</f>
        <v>0.16109999999999999</v>
      </c>
      <c r="BD94" s="68" cm="1">
        <f t="array" ref="BD94">INDEX(starting7players,AT94,AU94)</f>
        <v>0.11650000000000001</v>
      </c>
      <c r="BE94" s="68" cm="1">
        <f t="array" ref="BE94">INDEX(starting8players,AT94,AU94)</f>
        <v>0.1043</v>
      </c>
      <c r="BF94" s="69" cm="1">
        <f t="array" ref="BF94">INDEX(starting9players,AT94,AU94)</f>
        <v>8.9300000000000004E-2</v>
      </c>
    </row>
    <row r="95" spans="46:58">
      <c r="AT95" s="70">
        <v>8</v>
      </c>
      <c r="AU95" s="71">
        <v>2</v>
      </c>
      <c r="AV95" s="71" t="str" cm="1">
        <f t="array" ref="AV95">SUBSTITUTE(INDEX($A$3:$A$15,AT95),"10","T")</f>
        <v>7</v>
      </c>
      <c r="AW95" s="71" t="str" cm="1">
        <f t="array" ref="AW95">SUBSTITUTE(INDEX($B$2:$N$2,AU95),"10","T")</f>
        <v>K</v>
      </c>
      <c r="AX95" s="91" t="str">
        <f t="shared" si="2"/>
        <v>K7o</v>
      </c>
      <c r="AY95" s="72" cm="1">
        <f t="array" ref="AY95">INDEX(starting2players,AT95,AU95)</f>
        <v>0.5534</v>
      </c>
      <c r="AZ95" s="73" cm="1">
        <f t="array" ref="AZ95">INDEX(starting3players,AT95,AU95)</f>
        <v>0.34129999999999999</v>
      </c>
      <c r="BA95" s="73" cm="1">
        <f t="array" ref="BA95">INDEX(starting4players,AT95,AU95)</f>
        <v>0.2366</v>
      </c>
      <c r="BB95" s="73" cm="1">
        <f t="array" ref="BB95">INDEX(starting5players,AT95,AU95)</f>
        <v>0.19409999999999999</v>
      </c>
      <c r="BC95" s="73" cm="1">
        <f t="array" ref="BC95">INDEX(starting6players,AT95,AU95)</f>
        <v>0.15140000000000001</v>
      </c>
      <c r="BD95" s="73" cm="1">
        <f t="array" ref="BD95">INDEX(starting7players,AT95,AU95)</f>
        <v>0.1065</v>
      </c>
      <c r="BE95" s="73" cm="1">
        <f t="array" ref="BE95">INDEX(starting8players,AT95,AU95)</f>
        <v>0.1004</v>
      </c>
      <c r="BF95" s="74" cm="1">
        <f t="array" ref="BF95">INDEX(starting9players,AT95,AU95)</f>
        <v>8.8200000000000001E-2</v>
      </c>
    </row>
    <row r="96" spans="46:58">
      <c r="AT96" s="53">
        <v>8</v>
      </c>
      <c r="AU96" s="54">
        <v>3</v>
      </c>
      <c r="AV96" s="54" t="str" cm="1">
        <f t="array" ref="AV96">SUBSTITUTE(INDEX($A$3:$A$15,AT96),"10","T")</f>
        <v>7</v>
      </c>
      <c r="AW96" s="54" t="str" cm="1">
        <f t="array" ref="AW96">SUBSTITUTE(INDEX($B$2:$N$2,AU96),"10","T")</f>
        <v>Q</v>
      </c>
      <c r="AX96" s="92" t="str">
        <f t="shared" si="2"/>
        <v>Q7o</v>
      </c>
      <c r="AY96" s="67" cm="1">
        <f t="array" ref="AY96">INDEX(starting2players,AT96,AU96)</f>
        <v>0.5242</v>
      </c>
      <c r="AZ96" s="68" cm="1">
        <f t="array" ref="AZ96">INDEX(starting3players,AT96,AU96)</f>
        <v>0.31080000000000002</v>
      </c>
      <c r="BA96" s="68" cm="1">
        <f t="array" ref="BA96">INDEX(starting4players,AT96,AU96)</f>
        <v>0.2132</v>
      </c>
      <c r="BB96" s="68" cm="1">
        <f t="array" ref="BB96">INDEX(starting5players,AT96,AU96)</f>
        <v>0.16600000000000001</v>
      </c>
      <c r="BC96" s="68" cm="1">
        <f t="array" ref="BC96">INDEX(starting6players,AT96,AU96)</f>
        <v>0.129</v>
      </c>
      <c r="BD96" s="68" cm="1">
        <f t="array" ref="BD96">INDEX(starting7players,AT96,AU96)</f>
        <v>9.3799999999999994E-2</v>
      </c>
      <c r="BE96" s="68" cm="1">
        <f t="array" ref="BE96">INDEX(starting8players,AT96,AU96)</f>
        <v>8.5500000000000007E-2</v>
      </c>
      <c r="BF96" s="69" cm="1">
        <f t="array" ref="BF96">INDEX(starting9players,AT96,AU96)</f>
        <v>7.2900000000000006E-2</v>
      </c>
    </row>
    <row r="97" spans="46:58">
      <c r="AT97" s="70">
        <v>8</v>
      </c>
      <c r="AU97" s="71">
        <v>4</v>
      </c>
      <c r="AV97" s="71" t="str" cm="1">
        <f t="array" ref="AV97">SUBSTITUTE(INDEX($A$3:$A$15,AT97),"10","T")</f>
        <v>7</v>
      </c>
      <c r="AW97" s="71" t="str" cm="1">
        <f t="array" ref="AW97">SUBSTITUTE(INDEX($B$2:$N$2,AU97),"10","T")</f>
        <v>J</v>
      </c>
      <c r="AX97" s="91" t="str">
        <f t="shared" si="2"/>
        <v>J7o</v>
      </c>
      <c r="AY97" s="72" cm="1">
        <f t="array" ref="AY97">INDEX(starting2players,AT97,AU97)</f>
        <v>0.49619999999999997</v>
      </c>
      <c r="AZ97" s="73" cm="1">
        <f t="array" ref="AZ97">INDEX(starting3players,AT97,AU97)</f>
        <v>0.30349999999999999</v>
      </c>
      <c r="BA97" s="73" cm="1">
        <f t="array" ref="BA97">INDEX(starting4players,AT97,AU97)</f>
        <v>0.21310000000000001</v>
      </c>
      <c r="BB97" s="73" cm="1">
        <f t="array" ref="BB97">INDEX(starting5players,AT97,AU97)</f>
        <v>0.17330000000000001</v>
      </c>
      <c r="BC97" s="73" cm="1">
        <f t="array" ref="BC97">INDEX(starting6players,AT97,AU97)</f>
        <v>0.1242</v>
      </c>
      <c r="BD97" s="73" cm="1">
        <f t="array" ref="BD97">INDEX(starting7players,AT97,AU97)</f>
        <v>9.9000000000000005E-2</v>
      </c>
      <c r="BE97" s="73" cm="1">
        <f t="array" ref="BE97">INDEX(starting8players,AT97,AU97)</f>
        <v>8.1900000000000001E-2</v>
      </c>
      <c r="BF97" s="74" cm="1">
        <f t="array" ref="BF97">INDEX(starting9players,AT97,AU97)</f>
        <v>7.2599999999999998E-2</v>
      </c>
    </row>
    <row r="98" spans="46:58">
      <c r="AT98" s="53">
        <v>8</v>
      </c>
      <c r="AU98" s="54">
        <v>5</v>
      </c>
      <c r="AV98" s="54" t="str" cm="1">
        <f t="array" ref="AV98">SUBSTITUTE(INDEX($A$3:$A$15,AT98),"10","T")</f>
        <v>7</v>
      </c>
      <c r="AW98" s="54" t="str" cm="1">
        <f t="array" ref="AW98">SUBSTITUTE(INDEX($B$2:$N$2,AU98),"10","T")</f>
        <v>T</v>
      </c>
      <c r="AX98" s="92" t="str">
        <f t="shared" si="2"/>
        <v>T7o</v>
      </c>
      <c r="AY98" s="67" cm="1">
        <f t="array" ref="AY98">INDEX(starting2players,AT98,AU98)</f>
        <v>0.48359999999999997</v>
      </c>
      <c r="AZ98" s="68" cm="1">
        <f t="array" ref="AZ98">INDEX(starting3players,AT98,AU98)</f>
        <v>0.29099999999999998</v>
      </c>
      <c r="BA98" s="68" cm="1">
        <f t="array" ref="BA98">INDEX(starting4players,AT98,AU98)</f>
        <v>0.2109</v>
      </c>
      <c r="BB98" s="68" cm="1">
        <f t="array" ref="BB98">INDEX(starting5players,AT98,AU98)</f>
        <v>0.16700000000000001</v>
      </c>
      <c r="BC98" s="68" cm="1">
        <f t="array" ref="BC98">INDEX(starting6players,AT98,AU98)</f>
        <v>0.13519999999999999</v>
      </c>
      <c r="BD98" s="68" cm="1">
        <f t="array" ref="BD98">INDEX(starting7players,AT98,AU98)</f>
        <v>0.1043</v>
      </c>
      <c r="BE98" s="68" cm="1">
        <f t="array" ref="BE98">INDEX(starting8players,AT98,AU98)</f>
        <v>9.4E-2</v>
      </c>
      <c r="BF98" s="69" cm="1">
        <f t="array" ref="BF98">INDEX(starting9players,AT98,AU98)</f>
        <v>7.9500000000000001E-2</v>
      </c>
    </row>
    <row r="99" spans="46:58">
      <c r="AT99" s="70">
        <v>8</v>
      </c>
      <c r="AU99" s="71">
        <v>6</v>
      </c>
      <c r="AV99" s="71" t="str" cm="1">
        <f t="array" ref="AV99">SUBSTITUTE(INDEX($A$3:$A$15,AT99),"10","T")</f>
        <v>7</v>
      </c>
      <c r="AW99" s="71" t="str" cm="1">
        <f t="array" ref="AW99">SUBSTITUTE(INDEX($B$2:$N$2,AU99),"10","T")</f>
        <v>9</v>
      </c>
      <c r="AX99" s="91" t="str">
        <f t="shared" si="2"/>
        <v>97o</v>
      </c>
      <c r="AY99" s="72" cm="1">
        <f t="array" ref="AY99">INDEX(starting2players,AT99,AU99)</f>
        <v>0.4602</v>
      </c>
      <c r="AZ99" s="73" cm="1">
        <f t="array" ref="AZ99">INDEX(starting3players,AT99,AU99)</f>
        <v>0.28670000000000001</v>
      </c>
      <c r="BA99" s="73" cm="1">
        <f t="array" ref="BA99">INDEX(starting4players,AT99,AU99)</f>
        <v>0.20860000000000001</v>
      </c>
      <c r="BB99" s="73" cm="1">
        <f t="array" ref="BB99">INDEX(starting5players,AT99,AU99)</f>
        <v>0.16159999999999999</v>
      </c>
      <c r="BC99" s="73" cm="1">
        <f t="array" ref="BC99">INDEX(starting6players,AT99,AU99)</f>
        <v>0.1341</v>
      </c>
      <c r="BD99" s="73" cm="1">
        <f t="array" ref="BD99">INDEX(starting7players,AT99,AU99)</f>
        <v>0.1052</v>
      </c>
      <c r="BE99" s="73" cm="1">
        <f t="array" ref="BE99">INDEX(starting8players,AT99,AU99)</f>
        <v>8.9599999999999999E-2</v>
      </c>
      <c r="BF99" s="74" cm="1">
        <f t="array" ref="BF99">INDEX(starting9players,AT99,AU99)</f>
        <v>8.5999999999999993E-2</v>
      </c>
    </row>
    <row r="100" spans="46:58">
      <c r="AT100" s="53">
        <v>8</v>
      </c>
      <c r="AU100" s="54">
        <v>7</v>
      </c>
      <c r="AV100" s="54" t="str" cm="1">
        <f t="array" ref="AV100">SUBSTITUTE(INDEX($A$3:$A$15,AT100),"10","T")</f>
        <v>7</v>
      </c>
      <c r="AW100" s="54" t="str" cm="1">
        <f t="array" ref="AW100">SUBSTITUTE(INDEX($B$2:$N$2,AU100),"10","T")</f>
        <v>8</v>
      </c>
      <c r="AX100" s="92" t="str">
        <f t="shared" si="2"/>
        <v>87o</v>
      </c>
      <c r="AY100" s="67" cm="1">
        <f t="array" ref="AY100">INDEX(starting2players,AT100,AU100)</f>
        <v>0.43890000000000001</v>
      </c>
      <c r="AZ100" s="68" cm="1">
        <f t="array" ref="AZ100">INDEX(starting3players,AT100,AU100)</f>
        <v>0.28949999999999998</v>
      </c>
      <c r="BA100" s="68" cm="1">
        <f t="array" ref="BA100">INDEX(starting4players,AT100,AU100)</f>
        <v>0.21690000000000001</v>
      </c>
      <c r="BB100" s="68" cm="1">
        <f t="array" ref="BB100">INDEX(starting5players,AT100,AU100)</f>
        <v>0.1583</v>
      </c>
      <c r="BC100" s="68" cm="1">
        <f t="array" ref="BC100">INDEX(starting6players,AT100,AU100)</f>
        <v>0.13300000000000001</v>
      </c>
      <c r="BD100" s="68" cm="1">
        <f t="array" ref="BD100">INDEX(starting7players,AT100,AU100)</f>
        <v>0.1079</v>
      </c>
      <c r="BE100" s="68" cm="1">
        <f t="array" ref="BE100">INDEX(starting8players,AT100,AU100)</f>
        <v>9.2399999999999996E-2</v>
      </c>
      <c r="BF100" s="69" cm="1">
        <f t="array" ref="BF100">INDEX(starting9players,AT100,AU100)</f>
        <v>8.3799999999999999E-2</v>
      </c>
    </row>
    <row r="101" spans="46:58">
      <c r="AT101" s="70">
        <v>8</v>
      </c>
      <c r="AU101" s="71">
        <v>8</v>
      </c>
      <c r="AV101" s="71" t="str" cm="1">
        <f t="array" ref="AV101">SUBSTITUTE(INDEX($A$3:$A$15,AT101),"10","T")</f>
        <v>7</v>
      </c>
      <c r="AW101" s="71" t="str" cm="1">
        <f t="array" ref="AW101">SUBSTITUTE(INDEX($B$2:$N$2,AU101),"10","T")</f>
        <v>7</v>
      </c>
      <c r="AX101" s="91" t="str">
        <f t="shared" si="2"/>
        <v>77</v>
      </c>
      <c r="AY101" s="72" cm="1">
        <f t="array" ref="AY101">INDEX(starting2players,AT101,AU101)</f>
        <v>0.72699999999999998</v>
      </c>
      <c r="AZ101" s="73" cm="1">
        <f t="array" ref="AZ101">INDEX(starting3players,AT101,AU101)</f>
        <v>0.52739999999999998</v>
      </c>
      <c r="BA101" s="73" cm="1">
        <f t="array" ref="BA101">INDEX(starting4players,AT101,AU101)</f>
        <v>0.40679999999999999</v>
      </c>
      <c r="BB101" s="73" cm="1">
        <f t="array" ref="BB101">INDEX(starting5players,AT101,AU101)</f>
        <v>0.33650000000000002</v>
      </c>
      <c r="BC101" s="73" cm="1">
        <f t="array" ref="BC101">INDEX(starting6players,AT101,AU101)</f>
        <v>0.30549999999999999</v>
      </c>
      <c r="BD101" s="73" cm="1">
        <f t="array" ref="BD101">INDEX(starting7players,AT101,AU101)</f>
        <v>0.25319999999999998</v>
      </c>
      <c r="BE101" s="73" cm="1">
        <f t="array" ref="BE101">INDEX(starting8players,AT101,AU101)</f>
        <v>0.24079999999999999</v>
      </c>
      <c r="BF101" s="74" cm="1">
        <f t="array" ref="BF101">INDEX(starting9players,AT101,AU101)</f>
        <v>0.13289999999999999</v>
      </c>
    </row>
    <row r="102" spans="46:58">
      <c r="AT102" s="53">
        <v>8</v>
      </c>
      <c r="AU102" s="54">
        <v>9</v>
      </c>
      <c r="AV102" s="54" t="str" cm="1">
        <f t="array" ref="AV102">SUBSTITUTE(INDEX($A$3:$A$15,AT102),"10","T")</f>
        <v>7</v>
      </c>
      <c r="AW102" s="54" t="str" cm="1">
        <f t="array" ref="AW102">SUBSTITUTE(INDEX($B$2:$N$2,AU102),"10","T")</f>
        <v>6</v>
      </c>
      <c r="AX102" s="92" t="str">
        <f t="shared" si="2"/>
        <v>76s</v>
      </c>
      <c r="AY102" s="67" cm="1">
        <f t="array" ref="AY102">INDEX(starting2players,AT102,AU102)</f>
        <v>0.433</v>
      </c>
      <c r="AZ102" s="68" cm="1">
        <f t="array" ref="AZ102">INDEX(starting3players,AT102,AU102)</f>
        <v>0.29010000000000002</v>
      </c>
      <c r="BA102" s="68" cm="1">
        <f t="array" ref="BA102">INDEX(starting4players,AT102,AU102)</f>
        <v>0.2293</v>
      </c>
      <c r="BB102" s="68" cm="1">
        <f t="array" ref="BB102">INDEX(starting5players,AT102,AU102)</f>
        <v>0.1913</v>
      </c>
      <c r="BC102" s="68" cm="1">
        <f t="array" ref="BC102">INDEX(starting6players,AT102,AU102)</f>
        <v>0.1593</v>
      </c>
      <c r="BD102" s="68" cm="1">
        <f t="array" ref="BD102">INDEX(starting7players,AT102,AU102)</f>
        <v>0.13170000000000001</v>
      </c>
      <c r="BE102" s="68" cm="1">
        <f t="array" ref="BE102">INDEX(starting8players,AT102,AU102)</f>
        <v>0.1237</v>
      </c>
      <c r="BF102" s="69" cm="1">
        <f t="array" ref="BF102">INDEX(starting9players,AT102,AU102)</f>
        <v>0.1153</v>
      </c>
    </row>
    <row r="103" spans="46:58">
      <c r="AT103" s="70">
        <v>8</v>
      </c>
      <c r="AU103" s="71">
        <v>10</v>
      </c>
      <c r="AV103" s="71" t="str" cm="1">
        <f t="array" ref="AV103">SUBSTITUTE(INDEX($A$3:$A$15,AT103),"10","T")</f>
        <v>7</v>
      </c>
      <c r="AW103" s="71" t="str" cm="1">
        <f t="array" ref="AW103">SUBSTITUTE(INDEX($B$2:$N$2,AU103),"10","T")</f>
        <v>5</v>
      </c>
      <c r="AX103" s="91" t="str">
        <f t="shared" si="2"/>
        <v>75s</v>
      </c>
      <c r="AY103" s="72" cm="1">
        <f t="array" ref="AY103">INDEX(starting2players,AT103,AU103)</f>
        <v>0.42680000000000001</v>
      </c>
      <c r="AZ103" s="73" cm="1">
        <f t="array" ref="AZ103">INDEX(starting3players,AT103,AU103)</f>
        <v>0.27379999999999999</v>
      </c>
      <c r="BA103" s="73" cm="1">
        <f t="array" ref="BA103">INDEX(starting4players,AT103,AU103)</f>
        <v>0.21490000000000001</v>
      </c>
      <c r="BB103" s="73" cm="1">
        <f t="array" ref="BB103">INDEX(starting5players,AT103,AU103)</f>
        <v>0.18079999999999999</v>
      </c>
      <c r="BC103" s="73" cm="1">
        <f t="array" ref="BC103">INDEX(starting6players,AT103,AU103)</f>
        <v>0.15040000000000001</v>
      </c>
      <c r="BD103" s="73" cm="1">
        <f t="array" ref="BD103">INDEX(starting7players,AT103,AU103)</f>
        <v>0.12330000000000001</v>
      </c>
      <c r="BE103" s="73" cm="1">
        <f t="array" ref="BE103">INDEX(starting8players,AT103,AU103)</f>
        <v>0.1082</v>
      </c>
      <c r="BF103" s="74" cm="1">
        <f t="array" ref="BF103">INDEX(starting9players,AT103,AU103)</f>
        <v>0.1108</v>
      </c>
    </row>
    <row r="104" spans="46:58">
      <c r="AT104" s="53">
        <v>8</v>
      </c>
      <c r="AU104" s="54">
        <v>11</v>
      </c>
      <c r="AV104" s="54" t="str" cm="1">
        <f t="array" ref="AV104">SUBSTITUTE(INDEX($A$3:$A$15,AT104),"10","T")</f>
        <v>7</v>
      </c>
      <c r="AW104" s="54" t="str" cm="1">
        <f t="array" ref="AW104">SUBSTITUTE(INDEX($B$2:$N$2,AU104),"10","T")</f>
        <v>4</v>
      </c>
      <c r="AX104" s="92" t="str">
        <f t="shared" si="2"/>
        <v>74s</v>
      </c>
      <c r="AY104" s="67" cm="1">
        <f t="array" ref="AY104">INDEX(starting2players,AT104,AU104)</f>
        <v>0.40310000000000001</v>
      </c>
      <c r="AZ104" s="68" cm="1">
        <f t="array" ref="AZ104">INDEX(starting3players,AT104,AU104)</f>
        <v>0.25280000000000002</v>
      </c>
      <c r="BA104" s="68" cm="1">
        <f t="array" ref="BA104">INDEX(starting4players,AT104,AU104)</f>
        <v>0.19550000000000001</v>
      </c>
      <c r="BB104" s="68" cm="1">
        <f t="array" ref="BB104">INDEX(starting5players,AT104,AU104)</f>
        <v>0.16739999999999999</v>
      </c>
      <c r="BC104" s="68" cm="1">
        <f t="array" ref="BC104">INDEX(starting6players,AT104,AU104)</f>
        <v>0.13619999999999999</v>
      </c>
      <c r="BD104" s="68" cm="1">
        <f t="array" ref="BD104">INDEX(starting7players,AT104,AU104)</f>
        <v>0.11219999999999999</v>
      </c>
      <c r="BE104" s="68" cm="1">
        <f t="array" ref="BE104">INDEX(starting8players,AT104,AU104)</f>
        <v>0.1065</v>
      </c>
      <c r="BF104" s="69" cm="1">
        <f t="array" ref="BF104">INDEX(starting9players,AT104,AU104)</f>
        <v>0.10340000000000001</v>
      </c>
    </row>
    <row r="105" spans="46:58">
      <c r="AT105" s="70">
        <v>8</v>
      </c>
      <c r="AU105" s="71">
        <v>12</v>
      </c>
      <c r="AV105" s="71" t="str" cm="1">
        <f t="array" ref="AV105">SUBSTITUTE(INDEX($A$3:$A$15,AT105),"10","T")</f>
        <v>7</v>
      </c>
      <c r="AW105" s="71" t="str" cm="1">
        <f t="array" ref="AW105">SUBSTITUTE(INDEX($B$2:$N$2,AU105),"10","T")</f>
        <v>3</v>
      </c>
      <c r="AX105" s="91" t="str">
        <f t="shared" si="2"/>
        <v>73s</v>
      </c>
      <c r="AY105" s="72" cm="1">
        <f t="array" ref="AY105">INDEX(starting2players,AT105,AU105)</f>
        <v>0.38369999999999999</v>
      </c>
      <c r="AZ105" s="73" cm="1">
        <f t="array" ref="AZ105">INDEX(starting3players,AT105,AU105)</f>
        <v>0.22989999999999999</v>
      </c>
      <c r="BA105" s="73" cm="1">
        <f t="array" ref="BA105">INDEX(starting4players,AT105,AU105)</f>
        <v>0.1852</v>
      </c>
      <c r="BB105" s="73" cm="1">
        <f t="array" ref="BB105">INDEX(starting5players,AT105,AU105)</f>
        <v>0.1366</v>
      </c>
      <c r="BC105" s="73" cm="1">
        <f t="array" ref="BC105">INDEX(starting6players,AT105,AU105)</f>
        <v>0.1232</v>
      </c>
      <c r="BD105" s="73" cm="1">
        <f t="array" ref="BD105">INDEX(starting7players,AT105,AU105)</f>
        <v>9.8900000000000002E-2</v>
      </c>
      <c r="BE105" s="73" cm="1">
        <f t="array" ref="BE105">INDEX(starting8players,AT105,AU105)</f>
        <v>9.11E-2</v>
      </c>
      <c r="BF105" s="74" cm="1">
        <f t="array" ref="BF105">INDEX(starting9players,AT105,AU105)</f>
        <v>8.7300000000000003E-2</v>
      </c>
    </row>
    <row r="106" spans="46:58">
      <c r="AT106" s="53">
        <v>8</v>
      </c>
      <c r="AU106" s="54">
        <v>13</v>
      </c>
      <c r="AV106" s="54" t="str" cm="1">
        <f t="array" ref="AV106">SUBSTITUTE(INDEX($A$3:$A$15,AT106),"10","T")</f>
        <v>7</v>
      </c>
      <c r="AW106" s="54" t="str" cm="1">
        <f t="array" ref="AW106">SUBSTITUTE(INDEX($B$2:$N$2,AU106),"10","T")</f>
        <v>2</v>
      </c>
      <c r="AX106" s="92" t="str">
        <f t="shared" si="2"/>
        <v>72s</v>
      </c>
      <c r="AY106" s="67" cm="1">
        <f t="array" ref="AY106">INDEX(starting2players,AT106,AU106)</f>
        <v>0.36349999999999999</v>
      </c>
      <c r="AZ106" s="68" cm="1">
        <f t="array" ref="AZ106">INDEX(starting3players,AT106,AU106)</f>
        <v>0.222</v>
      </c>
      <c r="BA106" s="68" cm="1">
        <f t="array" ref="BA106">INDEX(starting4players,AT106,AU106)</f>
        <v>0.16420000000000001</v>
      </c>
      <c r="BB106" s="68" cm="1">
        <f t="array" ref="BB106">INDEX(starting5players,AT106,AU106)</f>
        <v>0.13500000000000001</v>
      </c>
      <c r="BC106" s="68" cm="1">
        <f t="array" ref="BC106">INDEX(starting6players,AT106,AU106)</f>
        <v>0.1142</v>
      </c>
      <c r="BD106" s="68" cm="1">
        <f t="array" ref="BD106">INDEX(starting7players,AT106,AU106)</f>
        <v>7.7899999999999997E-2</v>
      </c>
      <c r="BE106" s="68" cm="1">
        <f t="array" ref="BE106">INDEX(starting8players,AT106,AU106)</f>
        <v>8.1500000000000003E-2</v>
      </c>
      <c r="BF106" s="69" cm="1">
        <f t="array" ref="BF106">INDEX(starting9players,AT106,AU106)</f>
        <v>8.0699999999999994E-2</v>
      </c>
    </row>
    <row r="107" spans="46:58">
      <c r="AT107" s="70">
        <v>9</v>
      </c>
      <c r="AU107" s="71">
        <v>1</v>
      </c>
      <c r="AV107" s="71" t="str" cm="1">
        <f t="array" ref="AV107">SUBSTITUTE(INDEX($A$3:$A$15,AT107),"10","T")</f>
        <v>6</v>
      </c>
      <c r="AW107" s="71" t="str" cm="1">
        <f t="array" ref="AW107">SUBSTITUTE(INDEX($B$2:$N$2,AU107),"10","T")</f>
        <v>A</v>
      </c>
      <c r="AX107" s="91" t="str">
        <f t="shared" si="2"/>
        <v>A6o</v>
      </c>
      <c r="AY107" s="72" cm="1">
        <f t="array" ref="AY107">INDEX(starting2players,AT107,AU107)</f>
        <v>0.57869999999999999</v>
      </c>
      <c r="AZ107" s="73" cm="1">
        <f t="array" ref="AZ107">INDEX(starting3players,AT107,AU107)</f>
        <v>0.3347</v>
      </c>
      <c r="BA107" s="73" cm="1">
        <f t="array" ref="BA107">INDEX(starting4players,AT107,AU107)</f>
        <v>0.24629999999999999</v>
      </c>
      <c r="BB107" s="73" cm="1">
        <f t="array" ref="BB107">INDEX(starting5players,AT107,AU107)</f>
        <v>0.18920000000000001</v>
      </c>
      <c r="BC107" s="73" cm="1">
        <f t="array" ref="BC107">INDEX(starting6players,AT107,AU107)</f>
        <v>0.1522</v>
      </c>
      <c r="BD107" s="73" cm="1">
        <f t="array" ref="BD107">INDEX(starting7players,AT107,AU107)</f>
        <v>0.1067</v>
      </c>
      <c r="BE107" s="73" cm="1">
        <f t="array" ref="BE107">INDEX(starting8players,AT107,AU107)</f>
        <v>9.0300000000000005E-2</v>
      </c>
      <c r="BF107" s="74" cm="1">
        <f t="array" ref="BF107">INDEX(starting9players,AT107,AU107)</f>
        <v>9.2100000000000001E-2</v>
      </c>
    </row>
    <row r="108" spans="46:58">
      <c r="AT108" s="53">
        <v>9</v>
      </c>
      <c r="AU108" s="54">
        <v>2</v>
      </c>
      <c r="AV108" s="54" t="str" cm="1">
        <f t="array" ref="AV108">SUBSTITUTE(INDEX($A$3:$A$15,AT108),"10","T")</f>
        <v>6</v>
      </c>
      <c r="AW108" s="54" t="str" cm="1">
        <f t="array" ref="AW108">SUBSTITUTE(INDEX($B$2:$N$2,AU108),"10","T")</f>
        <v>K</v>
      </c>
      <c r="AX108" s="92" t="str">
        <f t="shared" si="2"/>
        <v>K6o</v>
      </c>
      <c r="AY108" s="67" cm="1">
        <f t="array" ref="AY108">INDEX(starting2players,AT108,AU108)</f>
        <v>0.53949999999999998</v>
      </c>
      <c r="AZ108" s="68" cm="1">
        <f t="array" ref="AZ108">INDEX(starting3players,AT108,AU108)</f>
        <v>0.31280000000000002</v>
      </c>
      <c r="BA108" s="68" cm="1">
        <f t="array" ref="BA108">INDEX(starting4players,AT108,AU108)</f>
        <v>0.2344</v>
      </c>
      <c r="BB108" s="68" cm="1">
        <f t="array" ref="BB108">INDEX(starting5players,AT108,AU108)</f>
        <v>0.17499999999999999</v>
      </c>
      <c r="BC108" s="68" cm="1">
        <f t="array" ref="BC108">INDEX(starting6players,AT108,AU108)</f>
        <v>0.13789999999999999</v>
      </c>
      <c r="BD108" s="68" cm="1">
        <f t="array" ref="BD108">INDEX(starting7players,AT108,AU108)</f>
        <v>9.5200000000000007E-2</v>
      </c>
      <c r="BE108" s="68" cm="1">
        <f t="array" ref="BE108">INDEX(starting8players,AT108,AU108)</f>
        <v>8.8400000000000006E-2</v>
      </c>
      <c r="BF108" s="69" cm="1">
        <f t="array" ref="BF108">INDEX(starting9players,AT108,AU108)</f>
        <v>8.1500000000000003E-2</v>
      </c>
    </row>
    <row r="109" spans="46:58">
      <c r="AT109" s="70">
        <v>9</v>
      </c>
      <c r="AU109" s="71">
        <v>3</v>
      </c>
      <c r="AV109" s="71" t="str" cm="1">
        <f t="array" ref="AV109">SUBSTITUTE(INDEX($A$3:$A$15,AT109),"10","T")</f>
        <v>6</v>
      </c>
      <c r="AW109" s="71" t="str" cm="1">
        <f t="array" ref="AW109">SUBSTITUTE(INDEX($B$2:$N$2,AU109),"10","T")</f>
        <v>Q</v>
      </c>
      <c r="AX109" s="91" t="str">
        <f t="shared" si="2"/>
        <v>Q6o</v>
      </c>
      <c r="AY109" s="72" cm="1">
        <f t="array" ref="AY109">INDEX(starting2players,AT109,AU109)</f>
        <v>0.50290000000000001</v>
      </c>
      <c r="AZ109" s="73" cm="1">
        <f t="array" ref="AZ109">INDEX(starting3players,AT109,AU109)</f>
        <v>0.28770000000000001</v>
      </c>
      <c r="BA109" s="73" cm="1">
        <f t="array" ref="BA109">INDEX(starting4players,AT109,AU109)</f>
        <v>0.20749999999999999</v>
      </c>
      <c r="BB109" s="73" cm="1">
        <f t="array" ref="BB109">INDEX(starting5players,AT109,AU109)</f>
        <v>0.15110000000000001</v>
      </c>
      <c r="BC109" s="73" cm="1">
        <f t="array" ref="BC109">INDEX(starting6players,AT109,AU109)</f>
        <v>0.12280000000000001</v>
      </c>
      <c r="BD109" s="73" cm="1">
        <f t="array" ref="BD109">INDEX(starting7players,AT109,AU109)</f>
        <v>8.5999999999999993E-2</v>
      </c>
      <c r="BE109" s="73" cm="1">
        <f t="array" ref="BE109">INDEX(starting8players,AT109,AU109)</f>
        <v>7.5399999999999995E-2</v>
      </c>
      <c r="BF109" s="74" cm="1">
        <f t="array" ref="BF109">INDEX(starting9players,AT109,AU109)</f>
        <v>6.9900000000000004E-2</v>
      </c>
    </row>
    <row r="110" spans="46:58">
      <c r="AT110" s="53">
        <v>9</v>
      </c>
      <c r="AU110" s="54">
        <v>4</v>
      </c>
      <c r="AV110" s="54" t="str" cm="1">
        <f t="array" ref="AV110">SUBSTITUTE(INDEX($A$3:$A$15,AT110),"10","T")</f>
        <v>6</v>
      </c>
      <c r="AW110" s="54" t="str" cm="1">
        <f t="array" ref="AW110">SUBSTITUTE(INDEX($B$2:$N$2,AU110),"10","T")</f>
        <v>J</v>
      </c>
      <c r="AX110" s="92" t="str">
        <f t="shared" si="2"/>
        <v>J6o</v>
      </c>
      <c r="AY110" s="67" cm="1">
        <f t="array" ref="AY110">INDEX(starting2players,AT110,AU110)</f>
        <v>0.4718</v>
      </c>
      <c r="AZ110" s="68" cm="1">
        <f t="array" ref="AZ110">INDEX(starting3players,AT110,AU110)</f>
        <v>0.27579999999999999</v>
      </c>
      <c r="BA110" s="68" cm="1">
        <f t="array" ref="BA110">INDEX(starting4players,AT110,AU110)</f>
        <v>0.18790000000000001</v>
      </c>
      <c r="BB110" s="68" cm="1">
        <f t="array" ref="BB110">INDEX(starting5players,AT110,AU110)</f>
        <v>0.1399</v>
      </c>
      <c r="BC110" s="68" cm="1">
        <f t="array" ref="BC110">INDEX(starting6players,AT110,AU110)</f>
        <v>0.1086</v>
      </c>
      <c r="BD110" s="68" cm="1">
        <f t="array" ref="BD110">INDEX(starting7players,AT110,AU110)</f>
        <v>8.4599999999999995E-2</v>
      </c>
      <c r="BE110" s="68" cm="1">
        <f t="array" ref="BE110">INDEX(starting8players,AT110,AU110)</f>
        <v>6.3700000000000007E-2</v>
      </c>
      <c r="BF110" s="69" cm="1">
        <f t="array" ref="BF110">INDEX(starting9players,AT110,AU110)</f>
        <v>6.1199999999999997E-2</v>
      </c>
    </row>
    <row r="111" spans="46:58">
      <c r="AT111" s="70">
        <v>9</v>
      </c>
      <c r="AU111" s="71">
        <v>5</v>
      </c>
      <c r="AV111" s="71" t="str" cm="1">
        <f t="array" ref="AV111">SUBSTITUTE(INDEX($A$3:$A$15,AT111),"10","T")</f>
        <v>6</v>
      </c>
      <c r="AW111" s="71" t="str" cm="1">
        <f t="array" ref="AW111">SUBSTITUTE(INDEX($B$2:$N$2,AU111),"10","T")</f>
        <v>T</v>
      </c>
      <c r="AX111" s="91" t="str">
        <f t="shared" si="2"/>
        <v>T6o</v>
      </c>
      <c r="AY111" s="72" cm="1">
        <f t="array" ref="AY111">INDEX(starting2players,AT111,AU111)</f>
        <v>0.45879999999999999</v>
      </c>
      <c r="AZ111" s="73" cm="1">
        <f t="array" ref="AZ111">INDEX(starting3players,AT111,AU111)</f>
        <v>0.27429999999999999</v>
      </c>
      <c r="BA111" s="73" cm="1">
        <f t="array" ref="BA111">INDEX(starting4players,AT111,AU111)</f>
        <v>0.19719999999999999</v>
      </c>
      <c r="BB111" s="73" cm="1">
        <f t="array" ref="BB111">INDEX(starting5players,AT111,AU111)</f>
        <v>0.14649999999999999</v>
      </c>
      <c r="BC111" s="73" cm="1">
        <f t="array" ref="BC111">INDEX(starting6players,AT111,AU111)</f>
        <v>0.1162</v>
      </c>
      <c r="BD111" s="73" cm="1">
        <f t="array" ref="BD111">INDEX(starting7players,AT111,AU111)</f>
        <v>7.8600000000000003E-2</v>
      </c>
      <c r="BE111" s="73" cm="1">
        <f t="array" ref="BE111">INDEX(starting8players,AT111,AU111)</f>
        <v>7.0800000000000002E-2</v>
      </c>
      <c r="BF111" s="74" cm="1">
        <f t="array" ref="BF111">INDEX(starting9players,AT111,AU111)</f>
        <v>6.4600000000000005E-2</v>
      </c>
    </row>
    <row r="112" spans="46:58">
      <c r="AT112" s="53">
        <v>9</v>
      </c>
      <c r="AU112" s="54">
        <v>6</v>
      </c>
      <c r="AV112" s="54" t="str" cm="1">
        <f t="array" ref="AV112">SUBSTITUTE(INDEX($A$3:$A$15,AT112),"10","T")</f>
        <v>6</v>
      </c>
      <c r="AW112" s="54" t="str" cm="1">
        <f t="array" ref="AW112">SUBSTITUTE(INDEX($B$2:$N$2,AU112),"10","T")</f>
        <v>9</v>
      </c>
      <c r="AX112" s="92" t="str">
        <f t="shared" si="2"/>
        <v>96o</v>
      </c>
      <c r="AY112" s="67" cm="1">
        <f t="array" ref="AY112">INDEX(starting2players,AT112,AU112)</f>
        <v>0.44519999999999998</v>
      </c>
      <c r="AZ112" s="68" cm="1">
        <f t="array" ref="AZ112">INDEX(starting3players,AT112,AU112)</f>
        <v>0.26519999999999999</v>
      </c>
      <c r="BA112" s="68" cm="1">
        <f t="array" ref="BA112">INDEX(starting4players,AT112,AU112)</f>
        <v>0.191</v>
      </c>
      <c r="BB112" s="68" cm="1">
        <f t="array" ref="BB112">INDEX(starting5players,AT112,AU112)</f>
        <v>0.14729999999999999</v>
      </c>
      <c r="BC112" s="68" cm="1">
        <f t="array" ref="BC112">INDEX(starting6players,AT112,AU112)</f>
        <v>0.1222</v>
      </c>
      <c r="BD112" s="68" cm="1">
        <f t="array" ref="BD112">INDEX(starting7players,AT112,AU112)</f>
        <v>8.9700000000000002E-2</v>
      </c>
      <c r="BE112" s="68" cm="1">
        <f t="array" ref="BE112">INDEX(starting8players,AT112,AU112)</f>
        <v>7.5300000000000006E-2</v>
      </c>
      <c r="BF112" s="69" cm="1">
        <f t="array" ref="BF112">INDEX(starting9players,AT112,AU112)</f>
        <v>6.9099999999999995E-2</v>
      </c>
    </row>
    <row r="113" spans="46:58">
      <c r="AT113" s="70">
        <v>9</v>
      </c>
      <c r="AU113" s="71">
        <v>7</v>
      </c>
      <c r="AV113" s="71" t="str" cm="1">
        <f t="array" ref="AV113">SUBSTITUTE(INDEX($A$3:$A$15,AT113),"10","T")</f>
        <v>6</v>
      </c>
      <c r="AW113" s="71" t="str" cm="1">
        <f t="array" ref="AW113">SUBSTITUTE(INDEX($B$2:$N$2,AU113),"10","T")</f>
        <v>8</v>
      </c>
      <c r="AX113" s="91" t="str">
        <f t="shared" si="2"/>
        <v>86o</v>
      </c>
      <c r="AY113" s="72" cm="1">
        <f t="array" ref="AY113">INDEX(starting2players,AT113,AU113)</f>
        <v>0.41839999999999999</v>
      </c>
      <c r="AZ113" s="73" cm="1">
        <f t="array" ref="AZ113">INDEX(starting3players,AT113,AU113)</f>
        <v>0.25719999999999998</v>
      </c>
      <c r="BA113" s="73" cm="1">
        <f t="array" ref="BA113">INDEX(starting4players,AT113,AU113)</f>
        <v>0.1842</v>
      </c>
      <c r="BB113" s="73" cm="1">
        <f t="array" ref="BB113">INDEX(starting5players,AT113,AU113)</f>
        <v>0.15240000000000001</v>
      </c>
      <c r="BC113" s="73" cm="1">
        <f t="array" ref="BC113">INDEX(starting6players,AT113,AU113)</f>
        <v>0.1193</v>
      </c>
      <c r="BD113" s="73" cm="1">
        <f t="array" ref="BD113">INDEX(starting7players,AT113,AU113)</f>
        <v>9.6100000000000005E-2</v>
      </c>
      <c r="BE113" s="73" cm="1">
        <f t="array" ref="BE113">INDEX(starting8players,AT113,AU113)</f>
        <v>7.6799999999999993E-2</v>
      </c>
      <c r="BF113" s="74" cm="1">
        <f t="array" ref="BF113">INDEX(starting9players,AT113,AU113)</f>
        <v>7.3999999999999996E-2</v>
      </c>
    </row>
    <row r="114" spans="46:58">
      <c r="AT114" s="53">
        <v>9</v>
      </c>
      <c r="AU114" s="54">
        <v>8</v>
      </c>
      <c r="AV114" s="54" t="str" cm="1">
        <f t="array" ref="AV114">SUBSTITUTE(INDEX($A$3:$A$15,AT114),"10","T")</f>
        <v>6</v>
      </c>
      <c r="AW114" s="54" t="str" cm="1">
        <f t="array" ref="AW114">SUBSTITUTE(INDEX($B$2:$N$2,AU114),"10","T")</f>
        <v>7</v>
      </c>
      <c r="AX114" s="92" t="str">
        <f t="shared" si="2"/>
        <v>76o</v>
      </c>
      <c r="AY114" s="67" cm="1">
        <f t="array" ref="AY114">INDEX(starting2players,AT114,AU114)</f>
        <v>0.42609999999999998</v>
      </c>
      <c r="AZ114" s="68" cm="1">
        <f t="array" ref="AZ114">INDEX(starting3players,AT114,AU114)</f>
        <v>0.25619999999999998</v>
      </c>
      <c r="BA114" s="68" cm="1">
        <f t="array" ref="BA114">INDEX(starting4players,AT114,AU114)</f>
        <v>0.188</v>
      </c>
      <c r="BB114" s="68" cm="1">
        <f t="array" ref="BB114">INDEX(starting5players,AT114,AU114)</f>
        <v>0.1492</v>
      </c>
      <c r="BC114" s="68" cm="1">
        <f t="array" ref="BC114">INDEX(starting6players,AT114,AU114)</f>
        <v>0.12520000000000001</v>
      </c>
      <c r="BD114" s="68" cm="1">
        <f t="array" ref="BD114">INDEX(starting7players,AT114,AU114)</f>
        <v>9.8100000000000007E-2</v>
      </c>
      <c r="BE114" s="68" cm="1">
        <f t="array" ref="BE114">INDEX(starting8players,AT114,AU114)</f>
        <v>7.8600000000000003E-2</v>
      </c>
      <c r="BF114" s="69" cm="1">
        <f t="array" ref="BF114">INDEX(starting9players,AT114,AU114)</f>
        <v>7.0400000000000004E-2</v>
      </c>
    </row>
    <row r="115" spans="46:58">
      <c r="AT115" s="70">
        <v>9</v>
      </c>
      <c r="AU115" s="71">
        <v>9</v>
      </c>
      <c r="AV115" s="71" t="str" cm="1">
        <f t="array" ref="AV115">SUBSTITUTE(INDEX($A$3:$A$15,AT115),"10","T")</f>
        <v>6</v>
      </c>
      <c r="AW115" s="71" t="str" cm="1">
        <f t="array" ref="AW115">SUBSTITUTE(INDEX($B$2:$N$2,AU115),"10","T")</f>
        <v>6</v>
      </c>
      <c r="AX115" s="91" t="str">
        <f t="shared" si="2"/>
        <v>66</v>
      </c>
      <c r="AY115" s="72" cm="1">
        <f t="array" ref="AY115">INDEX(starting2players,AT115,AU115)</f>
        <v>0.6996</v>
      </c>
      <c r="AZ115" s="73" cm="1">
        <f t="array" ref="AZ115">INDEX(starting3players,AT115,AU115)</f>
        <v>0.49080000000000001</v>
      </c>
      <c r="BA115" s="73" cm="1">
        <f t="array" ref="BA115">INDEX(starting4players,AT115,AU115)</f>
        <v>0.38069999999999998</v>
      </c>
      <c r="BB115" s="73" cm="1">
        <f t="array" ref="BB115">INDEX(starting5players,AT115,AU115)</f>
        <v>0.31950000000000001</v>
      </c>
      <c r="BC115" s="73" cm="1">
        <f t="array" ref="BC115">INDEX(starting6players,AT115,AU115)</f>
        <v>0.28220000000000001</v>
      </c>
      <c r="BD115" s="73" cm="1">
        <f t="array" ref="BD115">INDEX(starting7players,AT115,AU115)</f>
        <v>0.2515</v>
      </c>
      <c r="BE115" s="73" cm="1">
        <f t="array" ref="BE115">INDEX(starting8players,AT115,AU115)</f>
        <v>0.22059999999999999</v>
      </c>
      <c r="BF115" s="74" cm="1">
        <f t="array" ref="BF115">INDEX(starting9players,AT115,AU115)</f>
        <v>0.12870000000000001</v>
      </c>
    </row>
    <row r="116" spans="46:58">
      <c r="AT116" s="53">
        <v>9</v>
      </c>
      <c r="AU116" s="54">
        <v>10</v>
      </c>
      <c r="AV116" s="54" t="str" cm="1">
        <f t="array" ref="AV116">SUBSTITUTE(INDEX($A$3:$A$15,AT116),"10","T")</f>
        <v>6</v>
      </c>
      <c r="AW116" s="54" t="str" cm="1">
        <f t="array" ref="AW116">SUBSTITUTE(INDEX($B$2:$N$2,AU116),"10","T")</f>
        <v>5</v>
      </c>
      <c r="AX116" s="92" t="str">
        <f t="shared" si="2"/>
        <v>65s</v>
      </c>
      <c r="AY116" s="67" cm="1">
        <f t="array" ref="AY116">INDEX(starting2players,AT116,AU116)</f>
        <v>0.4032</v>
      </c>
      <c r="AZ116" s="68" cm="1">
        <f t="array" ref="AZ116">INDEX(starting3players,AT116,AU116)</f>
        <v>0.27129999999999999</v>
      </c>
      <c r="BA116" s="68" cm="1">
        <f t="array" ref="BA116">INDEX(starting4players,AT116,AU116)</f>
        <v>0.21060000000000001</v>
      </c>
      <c r="BB116" s="68" cm="1">
        <f t="array" ref="BB116">INDEX(starting5players,AT116,AU116)</f>
        <v>0.17430000000000001</v>
      </c>
      <c r="BC116" s="68" cm="1">
        <f t="array" ref="BC116">INDEX(starting6players,AT116,AU116)</f>
        <v>0.1467</v>
      </c>
      <c r="BD116" s="68" cm="1">
        <f t="array" ref="BD116">INDEX(starting7players,AT116,AU116)</f>
        <v>0.13170000000000001</v>
      </c>
      <c r="BE116" s="68" cm="1">
        <f t="array" ref="BE116">INDEX(starting8players,AT116,AU116)</f>
        <v>0.1147</v>
      </c>
      <c r="BF116" s="69" cm="1">
        <f t="array" ref="BF116">INDEX(starting9players,AT116,AU116)</f>
        <v>0.1018</v>
      </c>
    </row>
    <row r="117" spans="46:58">
      <c r="AT117" s="70">
        <v>9</v>
      </c>
      <c r="AU117" s="71">
        <v>11</v>
      </c>
      <c r="AV117" s="71" t="str" cm="1">
        <f t="array" ref="AV117">SUBSTITUTE(INDEX($A$3:$A$15,AT117),"10","T")</f>
        <v>6</v>
      </c>
      <c r="AW117" s="71" t="str" cm="1">
        <f t="array" ref="AW117">SUBSTITUTE(INDEX($B$2:$N$2,AU117),"10","T")</f>
        <v>4</v>
      </c>
      <c r="AX117" s="91" t="str">
        <f t="shared" si="2"/>
        <v>64s</v>
      </c>
      <c r="AY117" s="72" cm="1">
        <f t="array" ref="AY117">INDEX(starting2players,AT117,AU117)</f>
        <v>0.39550000000000002</v>
      </c>
      <c r="AZ117" s="73" cm="1">
        <f t="array" ref="AZ117">INDEX(starting3players,AT117,AU117)</f>
        <v>0.26400000000000001</v>
      </c>
      <c r="BA117" s="73" cm="1">
        <f t="array" ref="BA117">INDEX(starting4players,AT117,AU117)</f>
        <v>0.20710000000000001</v>
      </c>
      <c r="BB117" s="73" cm="1">
        <f t="array" ref="BB117">INDEX(starting5players,AT117,AU117)</f>
        <v>0.1668</v>
      </c>
      <c r="BC117" s="73" cm="1">
        <f t="array" ref="BC117">INDEX(starting6players,AT117,AU117)</f>
        <v>0.13689999999999999</v>
      </c>
      <c r="BD117" s="73" cm="1">
        <f t="array" ref="BD117">INDEX(starting7players,AT117,AU117)</f>
        <v>0.11509999999999999</v>
      </c>
      <c r="BE117" s="73" cm="1">
        <f t="array" ref="BE117">INDEX(starting8players,AT117,AU117)</f>
        <v>0.1116</v>
      </c>
      <c r="BF117" s="74" cm="1">
        <f t="array" ref="BF117">INDEX(starting9players,AT117,AU117)</f>
        <v>0.10589999999999999</v>
      </c>
    </row>
    <row r="118" spans="46:58">
      <c r="AT118" s="53">
        <v>9</v>
      </c>
      <c r="AU118" s="54">
        <v>12</v>
      </c>
      <c r="AV118" s="54" t="str" cm="1">
        <f t="array" ref="AV118">SUBSTITUTE(INDEX($A$3:$A$15,AT118),"10","T")</f>
        <v>6</v>
      </c>
      <c r="AW118" s="54" t="str" cm="1">
        <f t="array" ref="AW118">SUBSTITUTE(INDEX($B$2:$N$2,AU118),"10","T")</f>
        <v>3</v>
      </c>
      <c r="AX118" s="92" t="str">
        <f t="shared" si="2"/>
        <v>63s</v>
      </c>
      <c r="AY118" s="67" cm="1">
        <f t="array" ref="AY118">INDEX(starting2players,AT118,AU118)</f>
        <v>0.38900000000000001</v>
      </c>
      <c r="AZ118" s="68" cm="1">
        <f t="array" ref="AZ118">INDEX(starting3players,AT118,AU118)</f>
        <v>0.2535</v>
      </c>
      <c r="BA118" s="68" cm="1">
        <f t="array" ref="BA118">INDEX(starting4players,AT118,AU118)</f>
        <v>0.18729999999999999</v>
      </c>
      <c r="BB118" s="68" cm="1">
        <f t="array" ref="BB118">INDEX(starting5players,AT118,AU118)</f>
        <v>0.15029999999999999</v>
      </c>
      <c r="BC118" s="68" cm="1">
        <f t="array" ref="BC118">INDEX(starting6players,AT118,AU118)</f>
        <v>0.13100000000000001</v>
      </c>
      <c r="BD118" s="68" cm="1">
        <f t="array" ref="BD118">INDEX(starting7players,AT118,AU118)</f>
        <v>0.1061</v>
      </c>
      <c r="BE118" s="68" cm="1">
        <f t="array" ref="BE118">INDEX(starting8players,AT118,AU118)</f>
        <v>9.7699999999999995E-2</v>
      </c>
      <c r="BF118" s="69" cm="1">
        <f t="array" ref="BF118">INDEX(starting9players,AT118,AU118)</f>
        <v>9.8000000000000004E-2</v>
      </c>
    </row>
    <row r="119" spans="46:58">
      <c r="AT119" s="70">
        <v>9</v>
      </c>
      <c r="AU119" s="71">
        <v>13</v>
      </c>
      <c r="AV119" s="71" t="str" cm="1">
        <f t="array" ref="AV119">SUBSTITUTE(INDEX($A$3:$A$15,AT119),"10","T")</f>
        <v>6</v>
      </c>
      <c r="AW119" s="71" t="str" cm="1">
        <f t="array" ref="AW119">SUBSTITUTE(INDEX($B$2:$N$2,AU119),"10","T")</f>
        <v>2</v>
      </c>
      <c r="AX119" s="91" t="str">
        <f t="shared" si="2"/>
        <v>62s</v>
      </c>
      <c r="AY119" s="72" cm="1">
        <f t="array" ref="AY119">INDEX(starting2players,AT119,AU119)</f>
        <v>0.3569</v>
      </c>
      <c r="AZ119" s="73" cm="1">
        <f t="array" ref="AZ119">INDEX(starting3players,AT119,AU119)</f>
        <v>0.23330000000000001</v>
      </c>
      <c r="BA119" s="73" cm="1">
        <f t="array" ref="BA119">INDEX(starting4players,AT119,AU119)</f>
        <v>0.1678</v>
      </c>
      <c r="BB119" s="73" cm="1">
        <f t="array" ref="BB119">INDEX(starting5players,AT119,AU119)</f>
        <v>0.1371</v>
      </c>
      <c r="BC119" s="73" cm="1">
        <f t="array" ref="BC119">INDEX(starting6players,AT119,AU119)</f>
        <v>0.11360000000000001</v>
      </c>
      <c r="BD119" s="73" cm="1">
        <f t="array" ref="BD119">INDEX(starting7players,AT119,AU119)</f>
        <v>9.5200000000000007E-2</v>
      </c>
      <c r="BE119" s="73" cm="1">
        <f t="array" ref="BE119">INDEX(starting8players,AT119,AU119)</f>
        <v>8.5900000000000004E-2</v>
      </c>
      <c r="BF119" s="74" cm="1">
        <f t="array" ref="BF119">INDEX(starting9players,AT119,AU119)</f>
        <v>8.43E-2</v>
      </c>
    </row>
    <row r="120" spans="46:58">
      <c r="AT120" s="53">
        <v>10</v>
      </c>
      <c r="AU120" s="54">
        <v>1</v>
      </c>
      <c r="AV120" s="54" t="str" cm="1">
        <f t="array" ref="AV120">SUBSTITUTE(INDEX($A$3:$A$15,AT120),"10","T")</f>
        <v>5</v>
      </c>
      <c r="AW120" s="54" t="str" cm="1">
        <f t="array" ref="AW120">SUBSTITUTE(INDEX($B$2:$N$2,AU120),"10","T")</f>
        <v>A</v>
      </c>
      <c r="AX120" s="92" t="str">
        <f t="shared" si="2"/>
        <v>A5o</v>
      </c>
      <c r="AY120" s="67" cm="1">
        <f t="array" ref="AY120">INDEX(starting2players,AT120,AU120)</f>
        <v>0.57469999999999999</v>
      </c>
      <c r="AZ120" s="68" cm="1">
        <f t="array" ref="AZ120">INDEX(starting3players,AT120,AU120)</f>
        <v>0.3553</v>
      </c>
      <c r="BA120" s="68" cm="1">
        <f t="array" ref="BA120">INDEX(starting4players,AT120,AU120)</f>
        <v>0.24440000000000001</v>
      </c>
      <c r="BB120" s="68" cm="1">
        <f t="array" ref="BB120">INDEX(starting5players,AT120,AU120)</f>
        <v>0.1865</v>
      </c>
      <c r="BC120" s="68" cm="1">
        <f t="array" ref="BC120">INDEX(starting6players,AT120,AU120)</f>
        <v>0.1464</v>
      </c>
      <c r="BD120" s="68" cm="1">
        <f t="array" ref="BD120">INDEX(starting7players,AT120,AU120)</f>
        <v>0.1174</v>
      </c>
      <c r="BE120" s="68" cm="1">
        <f t="array" ref="BE120">INDEX(starting8players,AT120,AU120)</f>
        <v>0.1014</v>
      </c>
      <c r="BF120" s="69" cm="1">
        <f t="array" ref="BF120">INDEX(starting9players,AT120,AU120)</f>
        <v>9.5399999999999999E-2</v>
      </c>
    </row>
    <row r="121" spans="46:58">
      <c r="AT121" s="70">
        <v>10</v>
      </c>
      <c r="AU121" s="71">
        <v>2</v>
      </c>
      <c r="AV121" s="71" t="str" cm="1">
        <f t="array" ref="AV121">SUBSTITUTE(INDEX($A$3:$A$15,AT121),"10","T")</f>
        <v>5</v>
      </c>
      <c r="AW121" s="71" t="str" cm="1">
        <f t="array" ref="AW121">SUBSTITUTE(INDEX($B$2:$N$2,AU121),"10","T")</f>
        <v>K</v>
      </c>
      <c r="AX121" s="91" t="str">
        <f t="shared" si="2"/>
        <v>K5o</v>
      </c>
      <c r="AY121" s="72" cm="1">
        <f t="array" ref="AY121">INDEX(starting2players,AT121,AU121)</f>
        <v>0.53269999999999995</v>
      </c>
      <c r="AZ121" s="73" cm="1">
        <f t="array" ref="AZ121">INDEX(starting3players,AT121,AU121)</f>
        <v>0.31309999999999999</v>
      </c>
      <c r="BA121" s="73" cm="1">
        <f t="array" ref="BA121">INDEX(starting4players,AT121,AU121)</f>
        <v>0.2114</v>
      </c>
      <c r="BB121" s="73" cm="1">
        <f t="array" ref="BB121">INDEX(starting5players,AT121,AU121)</f>
        <v>0.1694</v>
      </c>
      <c r="BC121" s="73" cm="1">
        <f t="array" ref="BC121">INDEX(starting6players,AT121,AU121)</f>
        <v>0.11899999999999999</v>
      </c>
      <c r="BD121" s="73" cm="1">
        <f t="array" ref="BD121">INDEX(starting7players,AT121,AU121)</f>
        <v>8.8300000000000003E-2</v>
      </c>
      <c r="BE121" s="73" cm="1">
        <f t="array" ref="BE121">INDEX(starting8players,AT121,AU121)</f>
        <v>8.7999999999999995E-2</v>
      </c>
      <c r="BF121" s="74" cm="1">
        <f t="array" ref="BF121">INDEX(starting9players,AT121,AU121)</f>
        <v>7.3899999999999993E-2</v>
      </c>
    </row>
    <row r="122" spans="46:58">
      <c r="AT122" s="53">
        <v>10</v>
      </c>
      <c r="AU122" s="54">
        <v>3</v>
      </c>
      <c r="AV122" s="54" t="str" cm="1">
        <f t="array" ref="AV122">SUBSTITUTE(INDEX($A$3:$A$15,AT122),"10","T")</f>
        <v>5</v>
      </c>
      <c r="AW122" s="54" t="str" cm="1">
        <f t="array" ref="AW122">SUBSTITUTE(INDEX($B$2:$N$2,AU122),"10","T")</f>
        <v>Q</v>
      </c>
      <c r="AX122" s="92" t="str">
        <f t="shared" si="2"/>
        <v>Q5o</v>
      </c>
      <c r="AY122" s="67" cm="1">
        <f t="array" ref="AY122">INDEX(starting2players,AT122,AU122)</f>
        <v>0.48680000000000001</v>
      </c>
      <c r="AZ122" s="68" cm="1">
        <f t="array" ref="AZ122">INDEX(starting3players,AT122,AU122)</f>
        <v>0.28420000000000001</v>
      </c>
      <c r="BA122" s="68" cm="1">
        <f t="array" ref="BA122">INDEX(starting4players,AT122,AU122)</f>
        <v>0.19700000000000001</v>
      </c>
      <c r="BB122" s="68" cm="1">
        <f t="array" ref="BB122">INDEX(starting5players,AT122,AU122)</f>
        <v>0.1482</v>
      </c>
      <c r="BC122" s="68" cm="1">
        <f t="array" ref="BC122">INDEX(starting6players,AT122,AU122)</f>
        <v>0.11609999999999999</v>
      </c>
      <c r="BD122" s="68" cm="1">
        <f t="array" ref="BD122">INDEX(starting7players,AT122,AU122)</f>
        <v>8.0500000000000002E-2</v>
      </c>
      <c r="BE122" s="68" cm="1">
        <f t="array" ref="BE122">INDEX(starting8players,AT122,AU122)</f>
        <v>7.5700000000000003E-2</v>
      </c>
      <c r="BF122" s="69" cm="1">
        <f t="array" ref="BF122">INDEX(starting9players,AT122,AU122)</f>
        <v>6.4000000000000001E-2</v>
      </c>
    </row>
    <row r="123" spans="46:58">
      <c r="AT123" s="70">
        <v>10</v>
      </c>
      <c r="AU123" s="71">
        <v>4</v>
      </c>
      <c r="AV123" s="71" t="str" cm="1">
        <f t="array" ref="AV123">SUBSTITUTE(INDEX($A$3:$A$15,AT123),"10","T")</f>
        <v>5</v>
      </c>
      <c r="AW123" s="71" t="str" cm="1">
        <f t="array" ref="AW123">SUBSTITUTE(INDEX($B$2:$N$2,AU123),"10","T")</f>
        <v>J</v>
      </c>
      <c r="AX123" s="91" t="str">
        <f t="shared" si="2"/>
        <v>J5o</v>
      </c>
      <c r="AY123" s="72" cm="1">
        <f t="array" ref="AY123">INDEX(starting2players,AT123,AU123)</f>
        <v>0.47</v>
      </c>
      <c r="AZ123" s="73" cm="1">
        <f t="array" ref="AZ123">INDEX(starting3players,AT123,AU123)</f>
        <v>0.2596</v>
      </c>
      <c r="BA123" s="73" cm="1">
        <f t="array" ref="BA123">INDEX(starting4players,AT123,AU123)</f>
        <v>0.1759</v>
      </c>
      <c r="BB123" s="73" cm="1">
        <f t="array" ref="BB123">INDEX(starting5players,AT123,AU123)</f>
        <v>0.1308</v>
      </c>
      <c r="BC123" s="73" cm="1">
        <f t="array" ref="BC123">INDEX(starting6players,AT123,AU123)</f>
        <v>0.1053</v>
      </c>
      <c r="BD123" s="73" cm="1">
        <f t="array" ref="BD123">INDEX(starting7players,AT123,AU123)</f>
        <v>7.4099999999999999E-2</v>
      </c>
      <c r="BE123" s="73" cm="1">
        <f t="array" ref="BE123">INDEX(starting8players,AT123,AU123)</f>
        <v>6.3E-2</v>
      </c>
      <c r="BF123" s="74" cm="1">
        <f t="array" ref="BF123">INDEX(starting9players,AT123,AU123)</f>
        <v>5.5500000000000001E-2</v>
      </c>
    </row>
    <row r="124" spans="46:58">
      <c r="AT124" s="53">
        <v>10</v>
      </c>
      <c r="AU124" s="54">
        <v>5</v>
      </c>
      <c r="AV124" s="54" t="str" cm="1">
        <f t="array" ref="AV124">SUBSTITUTE(INDEX($A$3:$A$15,AT124),"10","T")</f>
        <v>5</v>
      </c>
      <c r="AW124" s="54" t="str" cm="1">
        <f t="array" ref="AW124">SUBSTITUTE(INDEX($B$2:$N$2,AU124),"10","T")</f>
        <v>T</v>
      </c>
      <c r="AX124" s="92" t="str">
        <f t="shared" si="2"/>
        <v>T5o</v>
      </c>
      <c r="AY124" s="67" cm="1">
        <f t="array" ref="AY124">INDEX(starting2players,AT124,AU124)</f>
        <v>0.43309999999999998</v>
      </c>
      <c r="AZ124" s="68" cm="1">
        <f t="array" ref="AZ124">INDEX(starting3players,AT124,AU124)</f>
        <v>0.2374</v>
      </c>
      <c r="BA124" s="68" cm="1">
        <f t="array" ref="BA124">INDEX(starting4players,AT124,AU124)</f>
        <v>0.16869999999999999</v>
      </c>
      <c r="BB124" s="68" cm="1">
        <f t="array" ref="BB124">INDEX(starting5players,AT124,AU124)</f>
        <v>0.12570000000000001</v>
      </c>
      <c r="BC124" s="68" cm="1">
        <f t="array" ref="BC124">INDEX(starting6players,AT124,AU124)</f>
        <v>9.6699999999999994E-2</v>
      </c>
      <c r="BD124" s="68" cm="1">
        <f t="array" ref="BD124">INDEX(starting7players,AT124,AU124)</f>
        <v>7.2999999999999995E-2</v>
      </c>
      <c r="BE124" s="68" cm="1">
        <f t="array" ref="BE124">INDEX(starting8players,AT124,AU124)</f>
        <v>6.1600000000000002E-2</v>
      </c>
      <c r="BF124" s="69" cm="1">
        <f t="array" ref="BF124">INDEX(starting9players,AT124,AU124)</f>
        <v>5.1200000000000002E-2</v>
      </c>
    </row>
    <row r="125" spans="46:58">
      <c r="AT125" s="70">
        <v>10</v>
      </c>
      <c r="AU125" s="71">
        <v>6</v>
      </c>
      <c r="AV125" s="71" t="str" cm="1">
        <f t="array" ref="AV125">SUBSTITUTE(INDEX($A$3:$A$15,AT125),"10","T")</f>
        <v>5</v>
      </c>
      <c r="AW125" s="71" t="str" cm="1">
        <f t="array" ref="AW125">SUBSTITUTE(INDEX($B$2:$N$2,AU125),"10","T")</f>
        <v>9</v>
      </c>
      <c r="AX125" s="91" t="str">
        <f t="shared" si="2"/>
        <v>95o</v>
      </c>
      <c r="AY125" s="72" cm="1">
        <f t="array" ref="AY125">INDEX(starting2players,AT125,AU125)</f>
        <v>0.41789999999999999</v>
      </c>
      <c r="AZ125" s="73" cm="1">
        <f t="array" ref="AZ125">INDEX(starting3players,AT125,AU125)</f>
        <v>0.24099999999999999</v>
      </c>
      <c r="BA125" s="73" cm="1">
        <f t="array" ref="BA125">INDEX(starting4players,AT125,AU125)</f>
        <v>0.16259999999999999</v>
      </c>
      <c r="BB125" s="73" cm="1">
        <f t="array" ref="BB125">INDEX(starting5players,AT125,AU125)</f>
        <v>0.12670000000000001</v>
      </c>
      <c r="BC125" s="73" cm="1">
        <f t="array" ref="BC125">INDEX(starting6players,AT125,AU125)</f>
        <v>0.1019</v>
      </c>
      <c r="BD125" s="73" cm="1">
        <f t="array" ref="BD125">INDEX(starting7players,AT125,AU125)</f>
        <v>7.6200000000000004E-2</v>
      </c>
      <c r="BE125" s="73" cm="1">
        <f t="array" ref="BE125">INDEX(starting8players,AT125,AU125)</f>
        <v>5.9900000000000002E-2</v>
      </c>
      <c r="BF125" s="74" cm="1">
        <f t="array" ref="BF125">INDEX(starting9players,AT125,AU125)</f>
        <v>5.0700000000000002E-2</v>
      </c>
    </row>
    <row r="126" spans="46:58">
      <c r="AT126" s="53">
        <v>10</v>
      </c>
      <c r="AU126" s="54">
        <v>7</v>
      </c>
      <c r="AV126" s="54" t="str" cm="1">
        <f t="array" ref="AV126">SUBSTITUTE(INDEX($A$3:$A$15,AT126),"10","T")</f>
        <v>5</v>
      </c>
      <c r="AW126" s="54" t="str" cm="1">
        <f t="array" ref="AW126">SUBSTITUTE(INDEX($B$2:$N$2,AU126),"10","T")</f>
        <v>8</v>
      </c>
      <c r="AX126" s="92" t="str">
        <f t="shared" si="2"/>
        <v>85o</v>
      </c>
      <c r="AY126" s="67" cm="1">
        <f t="array" ref="AY126">INDEX(starting2players,AT126,AU126)</f>
        <v>0.4123</v>
      </c>
      <c r="AZ126" s="68" cm="1">
        <f t="array" ref="AZ126">INDEX(starting3players,AT126,AU126)</f>
        <v>0.23799999999999999</v>
      </c>
      <c r="BA126" s="68" cm="1">
        <f t="array" ref="BA126">INDEX(starting4players,AT126,AU126)</f>
        <v>0.16669999999999999</v>
      </c>
      <c r="BB126" s="68" cm="1">
        <f t="array" ref="BB126">INDEX(starting5players,AT126,AU126)</f>
        <v>0.1288</v>
      </c>
      <c r="BC126" s="68" cm="1">
        <f t="array" ref="BC126">INDEX(starting6players,AT126,AU126)</f>
        <v>0.1091</v>
      </c>
      <c r="BD126" s="68" cm="1">
        <f t="array" ref="BD126">INDEX(starting7players,AT126,AU126)</f>
        <v>8.4599999999999995E-2</v>
      </c>
      <c r="BE126" s="68" cm="1">
        <f t="array" ref="BE126">INDEX(starting8players,AT126,AU126)</f>
        <v>6.9000000000000006E-2</v>
      </c>
      <c r="BF126" s="69" cm="1">
        <f t="array" ref="BF126">INDEX(starting9players,AT126,AU126)</f>
        <v>6.4899999999999999E-2</v>
      </c>
    </row>
    <row r="127" spans="46:58">
      <c r="AT127" s="70">
        <v>10</v>
      </c>
      <c r="AU127" s="71">
        <v>8</v>
      </c>
      <c r="AV127" s="71" t="str" cm="1">
        <f t="array" ref="AV127">SUBSTITUTE(INDEX($A$3:$A$15,AT127),"10","T")</f>
        <v>5</v>
      </c>
      <c r="AW127" s="71" t="str" cm="1">
        <f t="array" ref="AW127">SUBSTITUTE(INDEX($B$2:$N$2,AU127),"10","T")</f>
        <v>7</v>
      </c>
      <c r="AX127" s="91" t="str">
        <f t="shared" si="2"/>
        <v>75o</v>
      </c>
      <c r="AY127" s="72" cm="1">
        <f t="array" ref="AY127">INDEX(starting2players,AT127,AU127)</f>
        <v>0.39489999999999997</v>
      </c>
      <c r="AZ127" s="73" cm="1">
        <f t="array" ref="AZ127">INDEX(starting3players,AT127,AU127)</f>
        <v>0.24809999999999999</v>
      </c>
      <c r="BA127" s="73" cm="1">
        <f t="array" ref="BA127">INDEX(starting4players,AT127,AU127)</f>
        <v>0.17280000000000001</v>
      </c>
      <c r="BB127" s="73" cm="1">
        <f t="array" ref="BB127">INDEX(starting5players,AT127,AU127)</f>
        <v>0.1391</v>
      </c>
      <c r="BC127" s="73" cm="1">
        <f t="array" ref="BC127">INDEX(starting6players,AT127,AU127)</f>
        <v>0.112</v>
      </c>
      <c r="BD127" s="73" cm="1">
        <f t="array" ref="BD127">INDEX(starting7players,AT127,AU127)</f>
        <v>8.6599999999999996E-2</v>
      </c>
      <c r="BE127" s="73" cm="1">
        <f t="array" ref="BE127">INDEX(starting8players,AT127,AU127)</f>
        <v>7.8E-2</v>
      </c>
      <c r="BF127" s="74" cm="1">
        <f t="array" ref="BF127">INDEX(starting9players,AT127,AU127)</f>
        <v>7.1499999999999994E-2</v>
      </c>
    </row>
    <row r="128" spans="46:58">
      <c r="AT128" s="53">
        <v>10</v>
      </c>
      <c r="AU128" s="54">
        <v>9</v>
      </c>
      <c r="AV128" s="54" t="str" cm="1">
        <f t="array" ref="AV128">SUBSTITUTE(INDEX($A$3:$A$15,AT128),"10","T")</f>
        <v>5</v>
      </c>
      <c r="AW128" s="54" t="str" cm="1">
        <f t="array" ref="AW128">SUBSTITUTE(INDEX($B$2:$N$2,AU128),"10","T")</f>
        <v>6</v>
      </c>
      <c r="AX128" s="92" t="str">
        <f t="shared" si="2"/>
        <v>65o</v>
      </c>
      <c r="AY128" s="67" cm="1">
        <f t="array" ref="AY128">INDEX(starting2players,AT128,AU128)</f>
        <v>0.38379999999999997</v>
      </c>
      <c r="AZ128" s="68" cm="1">
        <f t="array" ref="AZ128">INDEX(starting3players,AT128,AU128)</f>
        <v>0.2437</v>
      </c>
      <c r="BA128" s="68" cm="1">
        <f t="array" ref="BA128">INDEX(starting4players,AT128,AU128)</f>
        <v>0.18149999999999999</v>
      </c>
      <c r="BB128" s="68" cm="1">
        <f t="array" ref="BB128">INDEX(starting5players,AT128,AU128)</f>
        <v>0.13789999999999999</v>
      </c>
      <c r="BC128" s="68" cm="1">
        <f t="array" ref="BC128">INDEX(starting6players,AT128,AU128)</f>
        <v>0.1077</v>
      </c>
      <c r="BD128" s="68" cm="1">
        <f t="array" ref="BD128">INDEX(starting7players,AT128,AU128)</f>
        <v>9.4700000000000006E-2</v>
      </c>
      <c r="BE128" s="68" cm="1">
        <f t="array" ref="BE128">INDEX(starting8players,AT128,AU128)</f>
        <v>8.1699999999999995E-2</v>
      </c>
      <c r="BF128" s="69" cm="1">
        <f t="array" ref="BF128">INDEX(starting9players,AT128,AU128)</f>
        <v>6.88E-2</v>
      </c>
    </row>
    <row r="129" spans="46:58">
      <c r="AT129" s="70">
        <v>10</v>
      </c>
      <c r="AU129" s="71">
        <v>10</v>
      </c>
      <c r="AV129" s="71" t="str" cm="1">
        <f t="array" ref="AV129">SUBSTITUTE(INDEX($A$3:$A$15,AT129),"10","T")</f>
        <v>5</v>
      </c>
      <c r="AW129" s="71" t="str" cm="1">
        <f t="array" ref="AW129">SUBSTITUTE(INDEX($B$2:$N$2,AU129),"10","T")</f>
        <v>5</v>
      </c>
      <c r="AX129" s="91" t="str">
        <f t="shared" si="2"/>
        <v>55</v>
      </c>
      <c r="AY129" s="72" cm="1">
        <f t="array" ref="AY129">INDEX(starting2players,AT129,AU129)</f>
        <v>0.67869999999999997</v>
      </c>
      <c r="AZ129" s="73" cm="1">
        <f t="array" ref="AZ129">INDEX(starting3players,AT129,AU129)</f>
        <v>0.4662</v>
      </c>
      <c r="BA129" s="73" cm="1">
        <f t="array" ref="BA129">INDEX(starting4players,AT129,AU129)</f>
        <v>0.36580000000000001</v>
      </c>
      <c r="BB129" s="73" cm="1">
        <f t="array" ref="BB129">INDEX(starting5players,AT129,AU129)</f>
        <v>0.2969</v>
      </c>
      <c r="BC129" s="73" cm="1">
        <f t="array" ref="BC129">INDEX(starting6players,AT129,AU129)</f>
        <v>0.26779999999999998</v>
      </c>
      <c r="BD129" s="73" cm="1">
        <f t="array" ref="BD129">INDEX(starting7players,AT129,AU129)</f>
        <v>0.23380000000000001</v>
      </c>
      <c r="BE129" s="73" cm="1">
        <f t="array" ref="BE129">INDEX(starting8players,AT129,AU129)</f>
        <v>0.22869999999999999</v>
      </c>
      <c r="BF129" s="74" cm="1">
        <f t="array" ref="BF129">INDEX(starting9players,AT129,AU129)</f>
        <v>0.11799999999999999</v>
      </c>
    </row>
    <row r="130" spans="46:58">
      <c r="AT130" s="53">
        <v>10</v>
      </c>
      <c r="AU130" s="54">
        <v>11</v>
      </c>
      <c r="AV130" s="54" t="str" cm="1">
        <f t="array" ref="AV130">SUBSTITUTE(INDEX($A$3:$A$15,AT130),"10","T")</f>
        <v>5</v>
      </c>
      <c r="AW130" s="54" t="str" cm="1">
        <f t="array" ref="AW130">SUBSTITUTE(INDEX($B$2:$N$2,AU130),"10","T")</f>
        <v>4</v>
      </c>
      <c r="AX130" s="92" t="str">
        <f t="shared" si="2"/>
        <v>54s</v>
      </c>
      <c r="AY130" s="67" cm="1">
        <f t="array" ref="AY130">INDEX(starting2players,AT130,AU130)</f>
        <v>0.39910000000000001</v>
      </c>
      <c r="AZ130" s="68" cm="1">
        <f t="array" ref="AZ130">INDEX(starting3players,AT130,AU130)</f>
        <v>0.25800000000000001</v>
      </c>
      <c r="BA130" s="68" cm="1">
        <f t="array" ref="BA130">INDEX(starting4players,AT130,AU130)</f>
        <v>0.20449999999999999</v>
      </c>
      <c r="BB130" s="68" cm="1">
        <f t="array" ref="BB130">INDEX(starting5players,AT130,AU130)</f>
        <v>0.16059999999999999</v>
      </c>
      <c r="BC130" s="68" cm="1">
        <f t="array" ref="BC130">INDEX(starting6players,AT130,AU130)</f>
        <v>0.1489</v>
      </c>
      <c r="BD130" s="68" cm="1">
        <f t="array" ref="BD130">INDEX(starting7players,AT130,AU130)</f>
        <v>0.112</v>
      </c>
      <c r="BE130" s="68" cm="1">
        <f t="array" ref="BE130">INDEX(starting8players,AT130,AU130)</f>
        <v>0.1162</v>
      </c>
      <c r="BF130" s="69" cm="1">
        <f t="array" ref="BF130">INDEX(starting9players,AT130,AU130)</f>
        <v>0.111</v>
      </c>
    </row>
    <row r="131" spans="46:58">
      <c r="AT131" s="70">
        <v>10</v>
      </c>
      <c r="AU131" s="71">
        <v>12</v>
      </c>
      <c r="AV131" s="71" t="str" cm="1">
        <f t="array" ref="AV131">SUBSTITUTE(INDEX($A$3:$A$15,AT131),"10","T")</f>
        <v>5</v>
      </c>
      <c r="AW131" s="71" t="str" cm="1">
        <f t="array" ref="AW131">SUBSTITUTE(INDEX($B$2:$N$2,AU131),"10","T")</f>
        <v>3</v>
      </c>
      <c r="AX131" s="91" t="str">
        <f t="shared" si="2"/>
        <v>53s</v>
      </c>
      <c r="AY131" s="72" cm="1">
        <f t="array" ref="AY131">INDEX(starting2players,AT131,AU131)</f>
        <v>0.38390000000000002</v>
      </c>
      <c r="AZ131" s="73" cm="1">
        <f t="array" ref="AZ131">INDEX(starting3players,AT131,AU131)</f>
        <v>0.24660000000000001</v>
      </c>
      <c r="BA131" s="73" cm="1">
        <f t="array" ref="BA131">INDEX(starting4players,AT131,AU131)</f>
        <v>0.19900000000000001</v>
      </c>
      <c r="BB131" s="73" cm="1">
        <f t="array" ref="BB131">INDEX(starting5players,AT131,AU131)</f>
        <v>0.15939999999999999</v>
      </c>
      <c r="BC131" s="73" cm="1">
        <f t="array" ref="BC131">INDEX(starting6players,AT131,AU131)</f>
        <v>0.1396</v>
      </c>
      <c r="BD131" s="73" cm="1">
        <f t="array" ref="BD131">INDEX(starting7players,AT131,AU131)</f>
        <v>0.1115</v>
      </c>
      <c r="BE131" s="73" cm="1">
        <f t="array" ref="BE131">INDEX(starting8players,AT131,AU131)</f>
        <v>0.10489999999999999</v>
      </c>
      <c r="BF131" s="74" cm="1">
        <f t="array" ref="BF131">INDEX(starting9players,AT131,AU131)</f>
        <v>9.69E-2</v>
      </c>
    </row>
    <row r="132" spans="46:58">
      <c r="AT132" s="53">
        <v>10</v>
      </c>
      <c r="AU132" s="54">
        <v>13</v>
      </c>
      <c r="AV132" s="54" t="str" cm="1">
        <f t="array" ref="AV132">SUBSTITUTE(INDEX($A$3:$A$15,AT132),"10","T")</f>
        <v>5</v>
      </c>
      <c r="AW132" s="54" t="str" cm="1">
        <f t="array" ref="AW132">SUBSTITUTE(INDEX($B$2:$N$2,AU132),"10","T")</f>
        <v>2</v>
      </c>
      <c r="AX132" s="92" t="str">
        <f t="shared" si="2"/>
        <v>52s</v>
      </c>
      <c r="AY132" s="67" cm="1">
        <f t="array" ref="AY132">INDEX(starting2players,AT132,AU132)</f>
        <v>0.36130000000000001</v>
      </c>
      <c r="AZ132" s="68" cm="1">
        <f t="array" ref="AZ132">INDEX(starting3players,AT132,AU132)</f>
        <v>0.22539999999999999</v>
      </c>
      <c r="BA132" s="68" cm="1">
        <f t="array" ref="BA132">INDEX(starting4players,AT132,AU132)</f>
        <v>0.17</v>
      </c>
      <c r="BB132" s="68" cm="1">
        <f t="array" ref="BB132">INDEX(starting5players,AT132,AU132)</f>
        <v>0.14119999999999999</v>
      </c>
      <c r="BC132" s="68" cm="1">
        <f t="array" ref="BC132">INDEX(starting6players,AT132,AU132)</f>
        <v>0.12659999999999999</v>
      </c>
      <c r="BD132" s="68" cm="1">
        <f t="array" ref="BD132">INDEX(starting7players,AT132,AU132)</f>
        <v>0.1016</v>
      </c>
      <c r="BE132" s="68" cm="1">
        <f t="array" ref="BE132">INDEX(starting8players,AT132,AU132)</f>
        <v>9.3100000000000002E-2</v>
      </c>
      <c r="BF132" s="69" cm="1">
        <f t="array" ref="BF132">INDEX(starting9players,AT132,AU132)</f>
        <v>9.3700000000000006E-2</v>
      </c>
    </row>
    <row r="133" spans="46:58">
      <c r="AT133" s="70">
        <v>11</v>
      </c>
      <c r="AU133" s="71">
        <v>1</v>
      </c>
      <c r="AV133" s="71" t="str" cm="1">
        <f t="array" ref="AV133">SUBSTITUTE(INDEX($A$3:$A$15,AT133),"10","T")</f>
        <v>4</v>
      </c>
      <c r="AW133" s="71" t="str" cm="1">
        <f t="array" ref="AW133">SUBSTITUTE(INDEX($B$2:$N$2,AU133),"10","T")</f>
        <v>A</v>
      </c>
      <c r="AX133" s="91" t="str">
        <f t="shared" ref="AX133:AX171" si="3">IF(AT133=AU133,AV133&amp;AW133,IF(AU133 &gt; AT133, AV133 &amp; AW133 &amp; "s",AW133 &amp; AV133 &amp; "o"))</f>
        <v>A4o</v>
      </c>
      <c r="AY133" s="72" cm="1">
        <f t="array" ref="AY133">INDEX(starting2players,AT133,AU133)</f>
        <v>0.56330000000000002</v>
      </c>
      <c r="AZ133" s="73" cm="1">
        <f t="array" ref="AZ133">INDEX(starting3players,AT133,AU133)</f>
        <v>0.34489999999999998</v>
      </c>
      <c r="BA133" s="73" cm="1">
        <f t="array" ref="BA133">INDEX(starting4players,AT133,AU133)</f>
        <v>0.2445</v>
      </c>
      <c r="BB133" s="73" cm="1">
        <f t="array" ref="BB133">INDEX(starting5players,AT133,AU133)</f>
        <v>0.18909999999999999</v>
      </c>
      <c r="BC133" s="73" cm="1">
        <f t="array" ref="BC133">INDEX(starting6players,AT133,AU133)</f>
        <v>0.1565</v>
      </c>
      <c r="BD133" s="73" cm="1">
        <f t="array" ref="BD133">INDEX(starting7players,AT133,AU133)</f>
        <v>0.10879999999999999</v>
      </c>
      <c r="BE133" s="73" cm="1">
        <f t="array" ref="BE133">INDEX(starting8players,AT133,AU133)</f>
        <v>9.9199999999999997E-2</v>
      </c>
      <c r="BF133" s="74" cm="1">
        <f t="array" ref="BF133">INDEX(starting9players,AT133,AU133)</f>
        <v>9.0800000000000006E-2</v>
      </c>
    </row>
    <row r="134" spans="46:58">
      <c r="AT134" s="53">
        <v>11</v>
      </c>
      <c r="AU134" s="54">
        <v>2</v>
      </c>
      <c r="AV134" s="54" t="str" cm="1">
        <f t="array" ref="AV134">SUBSTITUTE(INDEX($A$3:$A$15,AT134),"10","T")</f>
        <v>4</v>
      </c>
      <c r="AW134" s="54" t="str" cm="1">
        <f t="array" ref="AW134">SUBSTITUTE(INDEX($B$2:$N$2,AU134),"10","T")</f>
        <v>K</v>
      </c>
      <c r="AX134" s="92" t="str">
        <f t="shared" si="3"/>
        <v>K4o</v>
      </c>
      <c r="AY134" s="67" cm="1">
        <f t="array" ref="AY134">INDEX(starting2players,AT134,AU134)</f>
        <v>0.5181</v>
      </c>
      <c r="AZ134" s="68" cm="1">
        <f t="array" ref="AZ134">INDEX(starting3players,AT134,AU134)</f>
        <v>0.29570000000000002</v>
      </c>
      <c r="BA134" s="68" cm="1">
        <f t="array" ref="BA134">INDEX(starting4players,AT134,AU134)</f>
        <v>0.20430000000000001</v>
      </c>
      <c r="BB134" s="68" cm="1">
        <f t="array" ref="BB134">INDEX(starting5players,AT134,AU134)</f>
        <v>0.15679999999999999</v>
      </c>
      <c r="BC134" s="68" cm="1">
        <f t="array" ref="BC134">INDEX(starting6players,AT134,AU134)</f>
        <v>0.11990000000000001</v>
      </c>
      <c r="BD134" s="68" cm="1">
        <f t="array" ref="BD134">INDEX(starting7players,AT134,AU134)</f>
        <v>8.5699999999999998E-2</v>
      </c>
      <c r="BE134" s="68" cm="1">
        <f t="array" ref="BE134">INDEX(starting8players,AT134,AU134)</f>
        <v>7.8100000000000003E-2</v>
      </c>
      <c r="BF134" s="69" cm="1">
        <f t="array" ref="BF134">INDEX(starting9players,AT134,AU134)</f>
        <v>7.0099999999999996E-2</v>
      </c>
    </row>
    <row r="135" spans="46:58">
      <c r="AT135" s="70">
        <v>11</v>
      </c>
      <c r="AU135" s="71">
        <v>3</v>
      </c>
      <c r="AV135" s="71" t="str" cm="1">
        <f t="array" ref="AV135">SUBSTITUTE(INDEX($A$3:$A$15,AT135),"10","T")</f>
        <v>4</v>
      </c>
      <c r="AW135" s="71" t="str" cm="1">
        <f t="array" ref="AW135">SUBSTITUTE(INDEX($B$2:$N$2,AU135),"10","T")</f>
        <v>Q</v>
      </c>
      <c r="AX135" s="91" t="str">
        <f t="shared" si="3"/>
        <v>Q4o</v>
      </c>
      <c r="AY135" s="72" cm="1">
        <f t="array" ref="AY135">INDEX(starting2players,AT135,AU135)</f>
        <v>0.50139999999999996</v>
      </c>
      <c r="AZ135" s="73" cm="1">
        <f t="array" ref="AZ135">INDEX(starting3players,AT135,AU135)</f>
        <v>0.27700000000000002</v>
      </c>
      <c r="BA135" s="73" cm="1">
        <f t="array" ref="BA135">INDEX(starting4players,AT135,AU135)</f>
        <v>0.1835</v>
      </c>
      <c r="BB135" s="73" cm="1">
        <f t="array" ref="BB135">INDEX(starting5players,AT135,AU135)</f>
        <v>0.14219999999999999</v>
      </c>
      <c r="BC135" s="73" cm="1">
        <f t="array" ref="BC135">INDEX(starting6players,AT135,AU135)</f>
        <v>0.10879999999999999</v>
      </c>
      <c r="BD135" s="73" cm="1">
        <f t="array" ref="BD135">INDEX(starting7players,AT135,AU135)</f>
        <v>7.5600000000000001E-2</v>
      </c>
      <c r="BE135" s="73" cm="1">
        <f t="array" ref="BE135">INDEX(starting8players,AT135,AU135)</f>
        <v>6.7799999999999999E-2</v>
      </c>
      <c r="BF135" s="74" cm="1">
        <f t="array" ref="BF135">INDEX(starting9players,AT135,AU135)</f>
        <v>6.7100000000000007E-2</v>
      </c>
    </row>
    <row r="136" spans="46:58">
      <c r="AT136" s="53">
        <v>11</v>
      </c>
      <c r="AU136" s="54">
        <v>4</v>
      </c>
      <c r="AV136" s="54" t="str" cm="1">
        <f t="array" ref="AV136">SUBSTITUTE(INDEX($A$3:$A$15,AT136),"10","T")</f>
        <v>4</v>
      </c>
      <c r="AW136" s="54" t="str" cm="1">
        <f t="array" ref="AW136">SUBSTITUTE(INDEX($B$2:$N$2,AU136),"10","T")</f>
        <v>J</v>
      </c>
      <c r="AX136" s="92" t="str">
        <f t="shared" si="3"/>
        <v>J4o</v>
      </c>
      <c r="AY136" s="67" cm="1">
        <f t="array" ref="AY136">INDEX(starting2players,AT136,AU136)</f>
        <v>0.45479999999999998</v>
      </c>
      <c r="AZ136" s="68" cm="1">
        <f t="array" ref="AZ136">INDEX(starting3players,AT136,AU136)</f>
        <v>0.25159999999999999</v>
      </c>
      <c r="BA136" s="68" cm="1">
        <f t="array" ref="BA136">INDEX(starting4players,AT136,AU136)</f>
        <v>0.1739</v>
      </c>
      <c r="BB136" s="68" cm="1">
        <f t="array" ref="BB136">INDEX(starting5players,AT136,AU136)</f>
        <v>0.12740000000000001</v>
      </c>
      <c r="BC136" s="68" cm="1">
        <f t="array" ref="BC136">INDEX(starting6players,AT136,AU136)</f>
        <v>0.10199999999999999</v>
      </c>
      <c r="BD136" s="68" cm="1">
        <f t="array" ref="BD136">INDEX(starting7players,AT136,AU136)</f>
        <v>6.5799999999999997E-2</v>
      </c>
      <c r="BE136" s="68" cm="1">
        <f t="array" ref="BE136">INDEX(starting8players,AT136,AU136)</f>
        <v>6.5199999999999994E-2</v>
      </c>
      <c r="BF136" s="69" cm="1">
        <f t="array" ref="BF136">INDEX(starting9players,AT136,AU136)</f>
        <v>5.2900000000000003E-2</v>
      </c>
    </row>
    <row r="137" spans="46:58">
      <c r="AT137" s="70">
        <v>11</v>
      </c>
      <c r="AU137" s="71">
        <v>5</v>
      </c>
      <c r="AV137" s="71" t="str" cm="1">
        <f t="array" ref="AV137">SUBSTITUTE(INDEX($A$3:$A$15,AT137),"10","T")</f>
        <v>4</v>
      </c>
      <c r="AW137" s="71" t="str" cm="1">
        <f t="array" ref="AW137">SUBSTITUTE(INDEX($B$2:$N$2,AU137),"10","T")</f>
        <v>T</v>
      </c>
      <c r="AX137" s="91" t="str">
        <f t="shared" si="3"/>
        <v>T4o</v>
      </c>
      <c r="AY137" s="72" cm="1">
        <f t="array" ref="AY137">INDEX(starting2players,AT137,AU137)</f>
        <v>0.42370000000000002</v>
      </c>
      <c r="AZ137" s="73" cm="1">
        <f t="array" ref="AZ137">INDEX(starting3players,AT137,AU137)</f>
        <v>0.23730000000000001</v>
      </c>
      <c r="BA137" s="73" cm="1">
        <f t="array" ref="BA137">INDEX(starting4players,AT137,AU137)</f>
        <v>0.15959999999999999</v>
      </c>
      <c r="BB137" s="73" cm="1">
        <f t="array" ref="BB137">INDEX(starting5players,AT137,AU137)</f>
        <v>0.1237</v>
      </c>
      <c r="BC137" s="73" cm="1">
        <f t="array" ref="BC137">INDEX(starting6players,AT137,AU137)</f>
        <v>9.3100000000000002E-2</v>
      </c>
      <c r="BD137" s="73" cm="1">
        <f t="array" ref="BD137">INDEX(starting7players,AT137,AU137)</f>
        <v>6.6799999999999998E-2</v>
      </c>
      <c r="BE137" s="73" cm="1">
        <f t="array" ref="BE137">INDEX(starting8players,AT137,AU137)</f>
        <v>5.9799999999999999E-2</v>
      </c>
      <c r="BF137" s="74" cm="1">
        <f t="array" ref="BF137">INDEX(starting9players,AT137,AU137)</f>
        <v>4.9200000000000001E-2</v>
      </c>
    </row>
    <row r="138" spans="46:58">
      <c r="AT138" s="53">
        <v>11</v>
      </c>
      <c r="AU138" s="54">
        <v>6</v>
      </c>
      <c r="AV138" s="54" t="str" cm="1">
        <f t="array" ref="AV138">SUBSTITUTE(INDEX($A$3:$A$15,AT138),"10","T")</f>
        <v>4</v>
      </c>
      <c r="AW138" s="54" t="str" cm="1">
        <f t="array" ref="AW138">SUBSTITUTE(INDEX($B$2:$N$2,AU138),"10","T")</f>
        <v>9</v>
      </c>
      <c r="AX138" s="92" t="str">
        <f t="shared" si="3"/>
        <v>94o</v>
      </c>
      <c r="AY138" s="67" cm="1">
        <f t="array" ref="AY138">INDEX(starting2players,AT138,AU138)</f>
        <v>0.40460000000000002</v>
      </c>
      <c r="AZ138" s="68" cm="1">
        <f t="array" ref="AZ138">INDEX(starting3players,AT138,AU138)</f>
        <v>0.21340000000000001</v>
      </c>
      <c r="BA138" s="68" cm="1">
        <f t="array" ref="BA138">INDEX(starting4players,AT138,AU138)</f>
        <v>0.1507</v>
      </c>
      <c r="BB138" s="68" cm="1">
        <f t="array" ref="BB138">INDEX(starting5players,AT138,AU138)</f>
        <v>0.1084</v>
      </c>
      <c r="BC138" s="68" cm="1">
        <f t="array" ref="BC138">INDEX(starting6players,AT138,AU138)</f>
        <v>8.8999999999999996E-2</v>
      </c>
      <c r="BD138" s="68" cm="1">
        <f t="array" ref="BD138">INDEX(starting7players,AT138,AU138)</f>
        <v>5.7599999999999998E-2</v>
      </c>
      <c r="BE138" s="68" cm="1">
        <f t="array" ref="BE138">INDEX(starting8players,AT138,AU138)</f>
        <v>5.3999999999999999E-2</v>
      </c>
      <c r="BF138" s="69" cm="1">
        <f t="array" ref="BF138">INDEX(starting9players,AT138,AU138)</f>
        <v>4.7100000000000003E-2</v>
      </c>
    </row>
    <row r="139" spans="46:58">
      <c r="AT139" s="70">
        <v>11</v>
      </c>
      <c r="AU139" s="71">
        <v>7</v>
      </c>
      <c r="AV139" s="71" t="str" cm="1">
        <f t="array" ref="AV139">SUBSTITUTE(INDEX($A$3:$A$15,AT139),"10","T")</f>
        <v>4</v>
      </c>
      <c r="AW139" s="71" t="str" cm="1">
        <f t="array" ref="AW139">SUBSTITUTE(INDEX($B$2:$N$2,AU139),"10","T")</f>
        <v>8</v>
      </c>
      <c r="AX139" s="91" t="str">
        <f t="shared" si="3"/>
        <v>84o</v>
      </c>
      <c r="AY139" s="72" cm="1">
        <f t="array" ref="AY139">INDEX(starting2players,AT139,AU139)</f>
        <v>0.37580000000000002</v>
      </c>
      <c r="AZ139" s="73" cm="1">
        <f t="array" ref="AZ139">INDEX(starting3players,AT139,AU139)</f>
        <v>0.2112</v>
      </c>
      <c r="BA139" s="73" cm="1">
        <f t="array" ref="BA139">INDEX(starting4players,AT139,AU139)</f>
        <v>0.151</v>
      </c>
      <c r="BB139" s="73" cm="1">
        <f t="array" ref="BB139">INDEX(starting5players,AT139,AU139)</f>
        <v>0.11409999999999999</v>
      </c>
      <c r="BC139" s="73" cm="1">
        <f t="array" ref="BC139">INDEX(starting6players,AT139,AU139)</f>
        <v>8.9099999999999999E-2</v>
      </c>
      <c r="BD139" s="73" cm="1">
        <f t="array" ref="BD139">INDEX(starting7players,AT139,AU139)</f>
        <v>6.8699999999999997E-2</v>
      </c>
      <c r="BE139" s="73" cm="1">
        <f t="array" ref="BE139">INDEX(starting8players,AT139,AU139)</f>
        <v>5.5100000000000003E-2</v>
      </c>
      <c r="BF139" s="74" cm="1">
        <f t="array" ref="BF139">INDEX(starting9players,AT139,AU139)</f>
        <v>4.82E-2</v>
      </c>
    </row>
    <row r="140" spans="46:58">
      <c r="AT140" s="53">
        <v>11</v>
      </c>
      <c r="AU140" s="54">
        <v>8</v>
      </c>
      <c r="AV140" s="54" t="str" cm="1">
        <f t="array" ref="AV140">SUBSTITUTE(INDEX($A$3:$A$15,AT140),"10","T")</f>
        <v>4</v>
      </c>
      <c r="AW140" s="54" t="str" cm="1">
        <f t="array" ref="AW140">SUBSTITUTE(INDEX($B$2:$N$2,AU140),"10","T")</f>
        <v>7</v>
      </c>
      <c r="AX140" s="92" t="str">
        <f t="shared" si="3"/>
        <v>74o</v>
      </c>
      <c r="AY140" s="67" cm="1">
        <f t="array" ref="AY140">INDEX(starting2players,AT140,AU140)</f>
        <v>0.36649999999999999</v>
      </c>
      <c r="AZ140" s="68" cm="1">
        <f t="array" ref="AZ140">INDEX(starting3players,AT140,AU140)</f>
        <v>0.21390000000000001</v>
      </c>
      <c r="BA140" s="68" cm="1">
        <f t="array" ref="BA140">INDEX(starting4players,AT140,AU140)</f>
        <v>0.1497</v>
      </c>
      <c r="BB140" s="68" cm="1">
        <f t="array" ref="BB140">INDEX(starting5players,AT140,AU140)</f>
        <v>0.12520000000000001</v>
      </c>
      <c r="BC140" s="68" cm="1">
        <f t="array" ref="BC140">INDEX(starting6players,AT140,AU140)</f>
        <v>9.7199999999999995E-2</v>
      </c>
      <c r="BD140" s="68" cm="1">
        <f t="array" ref="BD140">INDEX(starting7players,AT140,AU140)</f>
        <v>7.9200000000000007E-2</v>
      </c>
      <c r="BE140" s="68" cm="1">
        <f t="array" ref="BE140">INDEX(starting8players,AT140,AU140)</f>
        <v>6.8199999999999997E-2</v>
      </c>
      <c r="BF140" s="69" cm="1">
        <f t="array" ref="BF140">INDEX(starting9players,AT140,AU140)</f>
        <v>6.5000000000000002E-2</v>
      </c>
    </row>
    <row r="141" spans="46:58">
      <c r="AT141" s="70">
        <v>11</v>
      </c>
      <c r="AU141" s="71">
        <v>9</v>
      </c>
      <c r="AV141" s="71" t="str" cm="1">
        <f t="array" ref="AV141">SUBSTITUTE(INDEX($A$3:$A$15,AT141),"10","T")</f>
        <v>4</v>
      </c>
      <c r="AW141" s="71" t="str" cm="1">
        <f t="array" ref="AW141">SUBSTITUTE(INDEX($B$2:$N$2,AU141),"10","T")</f>
        <v>6</v>
      </c>
      <c r="AX141" s="91" t="str">
        <f t="shared" si="3"/>
        <v>64o</v>
      </c>
      <c r="AY141" s="72" cm="1">
        <f t="array" ref="AY141">INDEX(starting2players,AT141,AU141)</f>
        <v>0.36320000000000002</v>
      </c>
      <c r="AZ141" s="73" cm="1">
        <f t="array" ref="AZ141">INDEX(starting3players,AT141,AU141)</f>
        <v>0.2157</v>
      </c>
      <c r="BA141" s="73" cm="1">
        <f t="array" ref="BA141">INDEX(starting4players,AT141,AU141)</f>
        <v>0.1618</v>
      </c>
      <c r="BB141" s="73" cm="1">
        <f t="array" ref="BB141">INDEX(starting5players,AT141,AU141)</f>
        <v>0.12809999999999999</v>
      </c>
      <c r="BC141" s="73" cm="1">
        <f t="array" ref="BC141">INDEX(starting6players,AT141,AU141)</f>
        <v>0.10050000000000001</v>
      </c>
      <c r="BD141" s="73" cm="1">
        <f t="array" ref="BD141">INDEX(starting7players,AT141,AU141)</f>
        <v>7.8200000000000006E-2</v>
      </c>
      <c r="BE141" s="73" cm="1">
        <f t="array" ref="BE141">INDEX(starting8players,AT141,AU141)</f>
        <v>6.7599999999999993E-2</v>
      </c>
      <c r="BF141" s="74" cm="1">
        <f t="array" ref="BF141">INDEX(starting9players,AT141,AU141)</f>
        <v>6.4799999999999996E-2</v>
      </c>
    </row>
    <row r="142" spans="46:58">
      <c r="AT142" s="53">
        <v>11</v>
      </c>
      <c r="AU142" s="54">
        <v>10</v>
      </c>
      <c r="AV142" s="54" t="str" cm="1">
        <f t="array" ref="AV142">SUBSTITUTE(INDEX($A$3:$A$15,AT142),"10","T")</f>
        <v>4</v>
      </c>
      <c r="AW142" s="54" t="str" cm="1">
        <f t="array" ref="AW142">SUBSTITUTE(INDEX($B$2:$N$2,AU142),"10","T")</f>
        <v>5</v>
      </c>
      <c r="AX142" s="92" t="str">
        <f t="shared" si="3"/>
        <v>54o</v>
      </c>
      <c r="AY142" s="67" cm="1">
        <f t="array" ref="AY142">INDEX(starting2players,AT142,AU142)</f>
        <v>0.36080000000000001</v>
      </c>
      <c r="AZ142" s="68" cm="1">
        <f t="array" ref="AZ142">INDEX(starting3players,AT142,AU142)</f>
        <v>0.2301</v>
      </c>
      <c r="BA142" s="68" cm="1">
        <f t="array" ref="BA142">INDEX(starting4players,AT142,AU142)</f>
        <v>0.1719</v>
      </c>
      <c r="BB142" s="68" cm="1">
        <f t="array" ref="BB142">INDEX(starting5players,AT142,AU142)</f>
        <v>0.1323</v>
      </c>
      <c r="BC142" s="68" cm="1">
        <f t="array" ref="BC142">INDEX(starting6players,AT142,AU142)</f>
        <v>0.10489999999999999</v>
      </c>
      <c r="BD142" s="68" cm="1">
        <f t="array" ref="BD142">INDEX(starting7players,AT142,AU142)</f>
        <v>8.6800000000000002E-2</v>
      </c>
      <c r="BE142" s="68" cm="1">
        <f t="array" ref="BE142">INDEX(starting8players,AT142,AU142)</f>
        <v>7.3700000000000002E-2</v>
      </c>
      <c r="BF142" s="69" cm="1">
        <f t="array" ref="BF142">INDEX(starting9players,AT142,AU142)</f>
        <v>6.7799999999999999E-2</v>
      </c>
    </row>
    <row r="143" spans="46:58">
      <c r="AT143" s="70">
        <v>11</v>
      </c>
      <c r="AU143" s="71">
        <v>11</v>
      </c>
      <c r="AV143" s="71" t="str" cm="1">
        <f t="array" ref="AV143">SUBSTITUTE(INDEX($A$3:$A$15,AT143),"10","T")</f>
        <v>4</v>
      </c>
      <c r="AW143" s="71" t="str" cm="1">
        <f t="array" ref="AW143">SUBSTITUTE(INDEX($B$2:$N$2,AU143),"10","T")</f>
        <v>4</v>
      </c>
      <c r="AX143" s="91" t="str">
        <f t="shared" si="3"/>
        <v>44</v>
      </c>
      <c r="AY143" s="72" cm="1">
        <f t="array" ref="AY143">INDEX(starting2players,AT143,AU143)</f>
        <v>0.65500000000000003</v>
      </c>
      <c r="AZ143" s="73" cm="1">
        <f t="array" ref="AZ143">INDEX(starting3players,AT143,AU143)</f>
        <v>0.44</v>
      </c>
      <c r="BA143" s="73" cm="1">
        <f t="array" ref="BA143">INDEX(starting4players,AT143,AU143)</f>
        <v>0.35360000000000003</v>
      </c>
      <c r="BB143" s="73" cm="1">
        <f t="array" ref="BB143">INDEX(starting5players,AT143,AU143)</f>
        <v>0.29859999999999998</v>
      </c>
      <c r="BC143" s="73" cm="1">
        <f t="array" ref="BC143">INDEX(starting6players,AT143,AU143)</f>
        <v>0.25840000000000002</v>
      </c>
      <c r="BD143" s="73" cm="1">
        <f t="array" ref="BD143">INDEX(starting7players,AT143,AU143)</f>
        <v>0.2321</v>
      </c>
      <c r="BE143" s="73" cm="1">
        <f t="array" ref="BE143">INDEX(starting8players,AT143,AU143)</f>
        <v>0.2117</v>
      </c>
      <c r="BF143" s="74" cm="1">
        <f t="array" ref="BF143">INDEX(starting9players,AT143,AU143)</f>
        <v>0.1203</v>
      </c>
    </row>
    <row r="144" spans="46:58">
      <c r="AT144" s="53">
        <v>11</v>
      </c>
      <c r="AU144" s="54">
        <v>12</v>
      </c>
      <c r="AV144" s="54" t="str" cm="1">
        <f t="array" ref="AV144">SUBSTITUTE(INDEX($A$3:$A$15,AT144),"10","T")</f>
        <v>4</v>
      </c>
      <c r="AW144" s="54" t="str" cm="1">
        <f t="array" ref="AW144">SUBSTITUTE(INDEX($B$2:$N$2,AU144),"10","T")</f>
        <v>3</v>
      </c>
      <c r="AX144" s="92" t="str">
        <f t="shared" si="3"/>
        <v>43s</v>
      </c>
      <c r="AY144" s="67" cm="1">
        <f t="array" ref="AY144">INDEX(starting2players,AT144,AU144)</f>
        <v>0.36380000000000001</v>
      </c>
      <c r="AZ144" s="68" cm="1">
        <f t="array" ref="AZ144">INDEX(starting3players,AT144,AU144)</f>
        <v>0.2253</v>
      </c>
      <c r="BA144" s="68" cm="1">
        <f t="array" ref="BA144">INDEX(starting4players,AT144,AU144)</f>
        <v>0.1898</v>
      </c>
      <c r="BB144" s="68" cm="1">
        <f t="array" ref="BB144">INDEX(starting5players,AT144,AU144)</f>
        <v>0.15</v>
      </c>
      <c r="BC144" s="68" cm="1">
        <f t="array" ref="BC144">INDEX(starting6players,AT144,AU144)</f>
        <v>0.12670000000000001</v>
      </c>
      <c r="BD144" s="68" cm="1">
        <f t="array" ref="BD144">INDEX(starting7players,AT144,AU144)</f>
        <v>0.10639999999999999</v>
      </c>
      <c r="BE144" s="68" cm="1">
        <f t="array" ref="BE144">INDEX(starting8players,AT144,AU144)</f>
        <v>0.1007</v>
      </c>
      <c r="BF144" s="69" cm="1">
        <f t="array" ref="BF144">INDEX(starting9players,AT144,AU144)</f>
        <v>9.3799999999999994E-2</v>
      </c>
    </row>
    <row r="145" spans="46:58">
      <c r="AT145" s="70">
        <v>11</v>
      </c>
      <c r="AU145" s="71">
        <v>13</v>
      </c>
      <c r="AV145" s="71" t="str" cm="1">
        <f t="array" ref="AV145">SUBSTITUTE(INDEX($A$3:$A$15,AT145),"10","T")</f>
        <v>4</v>
      </c>
      <c r="AW145" s="71" t="str" cm="1">
        <f t="array" ref="AW145">SUBSTITUTE(INDEX($B$2:$N$2,AU145),"10","T")</f>
        <v>2</v>
      </c>
      <c r="AX145" s="91" t="str">
        <f t="shared" si="3"/>
        <v>42s</v>
      </c>
      <c r="AY145" s="72" cm="1">
        <f t="array" ref="AY145">INDEX(starting2players,AT145,AU145)</f>
        <v>0.35189999999999999</v>
      </c>
      <c r="AZ145" s="73" cm="1">
        <f t="array" ref="AZ145">INDEX(starting3players,AT145,AU145)</f>
        <v>0.21560000000000001</v>
      </c>
      <c r="BA145" s="73" cm="1">
        <f t="array" ref="BA145">INDEX(starting4players,AT145,AU145)</f>
        <v>0.1749</v>
      </c>
      <c r="BB145" s="73" cm="1">
        <f t="array" ref="BB145">INDEX(starting5players,AT145,AU145)</f>
        <v>0.1409</v>
      </c>
      <c r="BC145" s="73" cm="1">
        <f t="array" ref="BC145">INDEX(starting6players,AT145,AU145)</f>
        <v>0.1203</v>
      </c>
      <c r="BD145" s="73" cm="1">
        <f t="array" ref="BD145">INDEX(starting7players,AT145,AU145)</f>
        <v>9.5100000000000004E-2</v>
      </c>
      <c r="BE145" s="73" cm="1">
        <f t="array" ref="BE145">INDEX(starting8players,AT145,AU145)</f>
        <v>9.4299999999999995E-2</v>
      </c>
      <c r="BF145" s="74" cm="1">
        <f t="array" ref="BF145">INDEX(starting9players,AT145,AU145)</f>
        <v>9.0499999999999997E-2</v>
      </c>
    </row>
    <row r="146" spans="46:58">
      <c r="AT146" s="53">
        <v>12</v>
      </c>
      <c r="AU146" s="54">
        <v>1</v>
      </c>
      <c r="AV146" s="54" t="str" cm="1">
        <f t="array" ref="AV146">SUBSTITUTE(INDEX($A$3:$A$15,AT146),"10","T")</f>
        <v>3</v>
      </c>
      <c r="AW146" s="54" t="str" cm="1">
        <f t="array" ref="AW146">SUBSTITUTE(INDEX($B$2:$N$2,AU146),"10","T")</f>
        <v>A</v>
      </c>
      <c r="AX146" s="92" t="str">
        <f t="shared" si="3"/>
        <v>A3o</v>
      </c>
      <c r="AY146" s="67" cm="1">
        <f t="array" ref="AY146">INDEX(starting2players,AT146,AU146)</f>
        <v>0.56379999999999997</v>
      </c>
      <c r="AZ146" s="68" cm="1">
        <f t="array" ref="AZ146">INDEX(starting3players,AT146,AU146)</f>
        <v>0.32769999999999999</v>
      </c>
      <c r="BA146" s="68" cm="1">
        <f t="array" ref="BA146">INDEX(starting4players,AT146,AU146)</f>
        <v>0.2485</v>
      </c>
      <c r="BB146" s="68" cm="1">
        <f t="array" ref="BB146">INDEX(starting5players,AT146,AU146)</f>
        <v>0.18329999999999999</v>
      </c>
      <c r="BC146" s="68" cm="1">
        <f t="array" ref="BC146">INDEX(starting6players,AT146,AU146)</f>
        <v>0.15110000000000001</v>
      </c>
      <c r="BD146" s="68" cm="1">
        <f t="array" ref="BD146">INDEX(starting7players,AT146,AU146)</f>
        <v>0.11310000000000001</v>
      </c>
      <c r="BE146" s="68" cm="1">
        <f t="array" ref="BE146">INDEX(starting8players,AT146,AU146)</f>
        <v>0.10589999999999999</v>
      </c>
      <c r="BF146" s="69" cm="1">
        <f t="array" ref="BF146">INDEX(starting9players,AT146,AU146)</f>
        <v>9.0800000000000006E-2</v>
      </c>
    </row>
    <row r="147" spans="46:58">
      <c r="AT147" s="70">
        <v>12</v>
      </c>
      <c r="AU147" s="71">
        <v>2</v>
      </c>
      <c r="AV147" s="71" t="str" cm="1">
        <f t="array" ref="AV147">SUBSTITUTE(INDEX($A$3:$A$15,AT147),"10","T")</f>
        <v>3</v>
      </c>
      <c r="AW147" s="71" t="str" cm="1">
        <f t="array" ref="AW147">SUBSTITUTE(INDEX($B$2:$N$2,AU147),"10","T")</f>
        <v>K</v>
      </c>
      <c r="AX147" s="91" t="str">
        <f t="shared" si="3"/>
        <v>K3o</v>
      </c>
      <c r="AY147" s="72" cm="1">
        <f t="array" ref="AY147">INDEX(starting2players,AT147,AU147)</f>
        <v>0.50880000000000003</v>
      </c>
      <c r="AZ147" s="73" cm="1">
        <f t="array" ref="AZ147">INDEX(starting3players,AT147,AU147)</f>
        <v>0.29070000000000001</v>
      </c>
      <c r="BA147" s="73" cm="1">
        <f t="array" ref="BA147">INDEX(starting4players,AT147,AU147)</f>
        <v>0.20660000000000001</v>
      </c>
      <c r="BB147" s="73" cm="1">
        <f t="array" ref="BB147">INDEX(starting5players,AT147,AU147)</f>
        <v>0.15620000000000001</v>
      </c>
      <c r="BC147" s="73" cm="1">
        <f t="array" ref="BC147">INDEX(starting6players,AT147,AU147)</f>
        <v>0.1268</v>
      </c>
      <c r="BD147" s="73" cm="1">
        <f t="array" ref="BD147">INDEX(starting7players,AT147,AU147)</f>
        <v>8.9599999999999999E-2</v>
      </c>
      <c r="BE147" s="73" cm="1">
        <f t="array" ref="BE147">INDEX(starting8players,AT147,AU147)</f>
        <v>8.6400000000000005E-2</v>
      </c>
      <c r="BF147" s="74" cm="1">
        <f t="array" ref="BF147">INDEX(starting9players,AT147,AU147)</f>
        <v>7.6100000000000001E-2</v>
      </c>
    </row>
    <row r="148" spans="46:58">
      <c r="AT148" s="53">
        <v>12</v>
      </c>
      <c r="AU148" s="54">
        <v>3</v>
      </c>
      <c r="AV148" s="54" t="str" cm="1">
        <f t="array" ref="AV148">SUBSTITUTE(INDEX($A$3:$A$15,AT148),"10","T")</f>
        <v>3</v>
      </c>
      <c r="AW148" s="54" t="str" cm="1">
        <f t="array" ref="AW148">SUBSTITUTE(INDEX($B$2:$N$2,AU148),"10","T")</f>
        <v>Q</v>
      </c>
      <c r="AX148" s="92" t="str">
        <f t="shared" si="3"/>
        <v>Q3o</v>
      </c>
      <c r="AY148" s="67" cm="1">
        <f t="array" ref="AY148">INDEX(starting2players,AT148,AU148)</f>
        <v>0.48359999999999997</v>
      </c>
      <c r="AZ148" s="68" cm="1">
        <f t="array" ref="AZ148">INDEX(starting3players,AT148,AU148)</f>
        <v>0.26350000000000001</v>
      </c>
      <c r="BA148" s="68" cm="1">
        <f t="array" ref="BA148">INDEX(starting4players,AT148,AU148)</f>
        <v>0.1825</v>
      </c>
      <c r="BB148" s="68" cm="1">
        <f t="array" ref="BB148">INDEX(starting5players,AT148,AU148)</f>
        <v>0.14349999999999999</v>
      </c>
      <c r="BC148" s="68" cm="1">
        <f t="array" ref="BC148">INDEX(starting6players,AT148,AU148)</f>
        <v>0.1057</v>
      </c>
      <c r="BD148" s="68" cm="1">
        <f t="array" ref="BD148">INDEX(starting7players,AT148,AU148)</f>
        <v>7.4800000000000005E-2</v>
      </c>
      <c r="BE148" s="68" cm="1">
        <f t="array" ref="BE148">INDEX(starting8players,AT148,AU148)</f>
        <v>6.5299999999999997E-2</v>
      </c>
      <c r="BF148" s="69" cm="1">
        <f t="array" ref="BF148">INDEX(starting9players,AT148,AU148)</f>
        <v>5.9700000000000003E-2</v>
      </c>
    </row>
    <row r="149" spans="46:58">
      <c r="AT149" s="70">
        <v>12</v>
      </c>
      <c r="AU149" s="71">
        <v>4</v>
      </c>
      <c r="AV149" s="71" t="str" cm="1">
        <f t="array" ref="AV149">SUBSTITUTE(INDEX($A$3:$A$15,AT149),"10","T")</f>
        <v>3</v>
      </c>
      <c r="AW149" s="71" t="str" cm="1">
        <f t="array" ref="AW149">SUBSTITUTE(INDEX($B$2:$N$2,AU149),"10","T")</f>
        <v>J</v>
      </c>
      <c r="AX149" s="91" t="str">
        <f t="shared" si="3"/>
        <v>J3o</v>
      </c>
      <c r="AY149" s="72" cm="1">
        <f t="array" ref="AY149">INDEX(starting2players,AT149,AU149)</f>
        <v>0.44640000000000002</v>
      </c>
      <c r="AZ149" s="73" cm="1">
        <f t="array" ref="AZ149">INDEX(starting3players,AT149,AU149)</f>
        <v>0.24629999999999999</v>
      </c>
      <c r="BA149" s="73" cm="1">
        <f t="array" ref="BA149">INDEX(starting4players,AT149,AU149)</f>
        <v>0.16830000000000001</v>
      </c>
      <c r="BB149" s="73" cm="1">
        <f t="array" ref="BB149">INDEX(starting5players,AT149,AU149)</f>
        <v>0.12520000000000001</v>
      </c>
      <c r="BC149" s="73" cm="1">
        <f t="array" ref="BC149">INDEX(starting6players,AT149,AU149)</f>
        <v>0.1032</v>
      </c>
      <c r="BD149" s="73" cm="1">
        <f t="array" ref="BD149">INDEX(starting7players,AT149,AU149)</f>
        <v>6.6699999999999995E-2</v>
      </c>
      <c r="BE149" s="73" cm="1">
        <f t="array" ref="BE149">INDEX(starting8players,AT149,AU149)</f>
        <v>6.1199999999999997E-2</v>
      </c>
      <c r="BF149" s="74" cm="1">
        <f t="array" ref="BF149">INDEX(starting9players,AT149,AU149)</f>
        <v>5.4699999999999999E-2</v>
      </c>
    </row>
    <row r="150" spans="46:58">
      <c r="AT150" s="53">
        <v>12</v>
      </c>
      <c r="AU150" s="54">
        <v>5</v>
      </c>
      <c r="AV150" s="54" t="str" cm="1">
        <f t="array" ref="AV150">SUBSTITUTE(INDEX($A$3:$A$15,AT150),"10","T")</f>
        <v>3</v>
      </c>
      <c r="AW150" s="54" t="str" cm="1">
        <f t="array" ref="AW150">SUBSTITUTE(INDEX($B$2:$N$2,AU150),"10","T")</f>
        <v>T</v>
      </c>
      <c r="AX150" s="92" t="str">
        <f t="shared" si="3"/>
        <v>T3o</v>
      </c>
      <c r="AY150" s="67" cm="1">
        <f t="array" ref="AY150">INDEX(starting2players,AT150,AU150)</f>
        <v>0.41959999999999997</v>
      </c>
      <c r="AZ150" s="68" cm="1">
        <f t="array" ref="AZ150">INDEX(starting3players,AT150,AU150)</f>
        <v>0.22850000000000001</v>
      </c>
      <c r="BA150" s="68" cm="1">
        <f t="array" ref="BA150">INDEX(starting4players,AT150,AU150)</f>
        <v>0.1542</v>
      </c>
      <c r="BB150" s="68" cm="1">
        <f t="array" ref="BB150">INDEX(starting5players,AT150,AU150)</f>
        <v>0.113</v>
      </c>
      <c r="BC150" s="68" cm="1">
        <f t="array" ref="BC150">INDEX(starting6players,AT150,AU150)</f>
        <v>9.0899999999999995E-2</v>
      </c>
      <c r="BD150" s="68" cm="1">
        <f t="array" ref="BD150">INDEX(starting7players,AT150,AU150)</f>
        <v>6.3399999999999998E-2</v>
      </c>
      <c r="BE150" s="68" cm="1">
        <f t="array" ref="BE150">INDEX(starting8players,AT150,AU150)</f>
        <v>5.0599999999999999E-2</v>
      </c>
      <c r="BF150" s="69" cm="1">
        <f t="array" ref="BF150">INDEX(starting9players,AT150,AU150)</f>
        <v>4.5499999999999999E-2</v>
      </c>
    </row>
    <row r="151" spans="46:58">
      <c r="AT151" s="70">
        <v>12</v>
      </c>
      <c r="AU151" s="71">
        <v>6</v>
      </c>
      <c r="AV151" s="71" t="str" cm="1">
        <f t="array" ref="AV151">SUBSTITUTE(INDEX($A$3:$A$15,AT151),"10","T")</f>
        <v>3</v>
      </c>
      <c r="AW151" s="71" t="str" cm="1">
        <f t="array" ref="AW151">SUBSTITUTE(INDEX($B$2:$N$2,AU151),"10","T")</f>
        <v>9</v>
      </c>
      <c r="AX151" s="91" t="str">
        <f t="shared" si="3"/>
        <v>93o</v>
      </c>
      <c r="AY151" s="72" cm="1">
        <f t="array" ref="AY151">INDEX(starting2players,AT151,AU151)</f>
        <v>0.38979999999999998</v>
      </c>
      <c r="AZ151" s="73" cm="1">
        <f t="array" ref="AZ151">INDEX(starting3players,AT151,AU151)</f>
        <v>0.21529999999999999</v>
      </c>
      <c r="BA151" s="73" cm="1">
        <f t="array" ref="BA151">INDEX(starting4players,AT151,AU151)</f>
        <v>0.14530000000000001</v>
      </c>
      <c r="BB151" s="73" cm="1">
        <f t="array" ref="BB151">INDEX(starting5players,AT151,AU151)</f>
        <v>0.1071</v>
      </c>
      <c r="BC151" s="73" cm="1">
        <f t="array" ref="BC151">INDEX(starting6players,AT151,AU151)</f>
        <v>8.5000000000000006E-2</v>
      </c>
      <c r="BD151" s="73" cm="1">
        <f t="array" ref="BD151">INDEX(starting7players,AT151,AU151)</f>
        <v>6.25E-2</v>
      </c>
      <c r="BE151" s="73" cm="1">
        <f t="array" ref="BE151">INDEX(starting8players,AT151,AU151)</f>
        <v>4.9299999999999997E-2</v>
      </c>
      <c r="BF151" s="74" cm="1">
        <f t="array" ref="BF151">INDEX(starting9players,AT151,AU151)</f>
        <v>4.4400000000000002E-2</v>
      </c>
    </row>
    <row r="152" spans="46:58">
      <c r="AT152" s="53">
        <v>12</v>
      </c>
      <c r="AU152" s="54">
        <v>7</v>
      </c>
      <c r="AV152" s="54" t="str" cm="1">
        <f t="array" ref="AV152">SUBSTITUTE(INDEX($A$3:$A$15,AT152),"10","T")</f>
        <v>3</v>
      </c>
      <c r="AW152" s="54" t="str" cm="1">
        <f t="array" ref="AW152">SUBSTITUTE(INDEX($B$2:$N$2,AU152),"10","T")</f>
        <v>8</v>
      </c>
      <c r="AX152" s="92" t="str">
        <f t="shared" si="3"/>
        <v>83o</v>
      </c>
      <c r="AY152" s="67" cm="1">
        <f t="array" ref="AY152">INDEX(starting2players,AT152,AU152)</f>
        <v>0.3619</v>
      </c>
      <c r="AZ152" s="68" cm="1">
        <f t="array" ref="AZ152">INDEX(starting3players,AT152,AU152)</f>
        <v>0.1976</v>
      </c>
      <c r="BA152" s="68" cm="1">
        <f t="array" ref="BA152">INDEX(starting4players,AT152,AU152)</f>
        <v>0.1409</v>
      </c>
      <c r="BB152" s="68" cm="1">
        <f t="array" ref="BB152">INDEX(starting5players,AT152,AU152)</f>
        <v>9.7600000000000006E-2</v>
      </c>
      <c r="BC152" s="68" cm="1">
        <f t="array" ref="BC152">INDEX(starting6players,AT152,AU152)</f>
        <v>8.1100000000000005E-2</v>
      </c>
      <c r="BD152" s="68" cm="1">
        <f t="array" ref="BD152">INDEX(starting7players,AT152,AU152)</f>
        <v>4.7800000000000002E-2</v>
      </c>
      <c r="BE152" s="68" cm="1">
        <f t="array" ref="BE152">INDEX(starting8players,AT152,AU152)</f>
        <v>4.8899999999999999E-2</v>
      </c>
      <c r="BF152" s="69" cm="1">
        <f t="array" ref="BF152">INDEX(starting9players,AT152,AU152)</f>
        <v>4.0500000000000001E-2</v>
      </c>
    </row>
    <row r="153" spans="46:58">
      <c r="AT153" s="70">
        <v>12</v>
      </c>
      <c r="AU153" s="71">
        <v>8</v>
      </c>
      <c r="AV153" s="71" t="str" cm="1">
        <f t="array" ref="AV153">SUBSTITUTE(INDEX($A$3:$A$15,AT153),"10","T")</f>
        <v>3</v>
      </c>
      <c r="AW153" s="71" t="str" cm="1">
        <f t="array" ref="AW153">SUBSTITUTE(INDEX($B$2:$N$2,AU153),"10","T")</f>
        <v>7</v>
      </c>
      <c r="AX153" s="91" t="str">
        <f t="shared" si="3"/>
        <v>73o</v>
      </c>
      <c r="AY153" s="72" cm="1">
        <f t="array" ref="AY153">INDEX(starting2players,AT153,AU153)</f>
        <v>0.35410000000000003</v>
      </c>
      <c r="AZ153" s="73" cm="1">
        <f t="array" ref="AZ153">INDEX(starting3players,AT153,AU153)</f>
        <v>0.1946</v>
      </c>
      <c r="BA153" s="73" cm="1">
        <f t="array" ref="BA153">INDEX(starting4players,AT153,AU153)</f>
        <v>0.13980000000000001</v>
      </c>
      <c r="BB153" s="73" cm="1">
        <f t="array" ref="BB153">INDEX(starting5players,AT153,AU153)</f>
        <v>9.3200000000000005E-2</v>
      </c>
      <c r="BC153" s="73" cm="1">
        <f t="array" ref="BC153">INDEX(starting6players,AT153,AU153)</f>
        <v>7.8E-2</v>
      </c>
      <c r="BD153" s="73" cm="1">
        <f t="array" ref="BD153">INDEX(starting7players,AT153,AU153)</f>
        <v>5.8400000000000001E-2</v>
      </c>
      <c r="BE153" s="73" cm="1">
        <f t="array" ref="BE153">INDEX(starting8players,AT153,AU153)</f>
        <v>4.7300000000000002E-2</v>
      </c>
      <c r="BF153" s="74" cm="1">
        <f t="array" ref="BF153">INDEX(starting9players,AT153,AU153)</f>
        <v>4.3900000000000002E-2</v>
      </c>
    </row>
    <row r="154" spans="46:58">
      <c r="AT154" s="53">
        <v>12</v>
      </c>
      <c r="AU154" s="54">
        <v>9</v>
      </c>
      <c r="AV154" s="54" t="str" cm="1">
        <f t="array" ref="AV154">SUBSTITUTE(INDEX($A$3:$A$15,AT154),"10","T")</f>
        <v>3</v>
      </c>
      <c r="AW154" s="54" t="str" cm="1">
        <f t="array" ref="AW154">SUBSTITUTE(INDEX($B$2:$N$2,AU154),"10","T")</f>
        <v>6</v>
      </c>
      <c r="AX154" s="92" t="str">
        <f t="shared" si="3"/>
        <v>63o</v>
      </c>
      <c r="AY154" s="67" cm="1">
        <f t="array" ref="AY154">INDEX(starting2players,AT154,AU154)</f>
        <v>0.3523</v>
      </c>
      <c r="AZ154" s="68" cm="1">
        <f t="array" ref="AZ154">INDEX(starting3players,AT154,AU154)</f>
        <v>0.1946</v>
      </c>
      <c r="BA154" s="68" cm="1">
        <f t="array" ref="BA154">INDEX(starting4players,AT154,AU154)</f>
        <v>0.1411</v>
      </c>
      <c r="BB154" s="68" cm="1">
        <f t="array" ref="BB154">INDEX(starting5players,AT154,AU154)</f>
        <v>0.1077</v>
      </c>
      <c r="BC154" s="68" cm="1">
        <f t="array" ref="BC154">INDEX(starting6players,AT154,AU154)</f>
        <v>8.9499999999999996E-2</v>
      </c>
      <c r="BD154" s="68" cm="1">
        <f t="array" ref="BD154">INDEX(starting7players,AT154,AU154)</f>
        <v>6.7000000000000004E-2</v>
      </c>
      <c r="BE154" s="68" cm="1">
        <f t="array" ref="BE154">INDEX(starting8players,AT154,AU154)</f>
        <v>5.9400000000000001E-2</v>
      </c>
      <c r="BF154" s="69" cm="1">
        <f t="array" ref="BF154">INDEX(starting9players,AT154,AU154)</f>
        <v>5.3900000000000003E-2</v>
      </c>
    </row>
    <row r="155" spans="46:58">
      <c r="AT155" s="70">
        <v>12</v>
      </c>
      <c r="AU155" s="71">
        <v>10</v>
      </c>
      <c r="AV155" s="71" t="str" cm="1">
        <f t="array" ref="AV155">SUBSTITUTE(INDEX($A$3:$A$15,AT155),"10","T")</f>
        <v>3</v>
      </c>
      <c r="AW155" s="71" t="str" cm="1">
        <f t="array" ref="AW155">SUBSTITUTE(INDEX($B$2:$N$2,AU155),"10","T")</f>
        <v>5</v>
      </c>
      <c r="AX155" s="91" t="str">
        <f t="shared" si="3"/>
        <v>53o</v>
      </c>
      <c r="AY155" s="72" cm="1">
        <f t="array" ref="AY155">INDEX(starting2players,AT155,AU155)</f>
        <v>0.35580000000000001</v>
      </c>
      <c r="AZ155" s="73" cm="1">
        <f t="array" ref="AZ155">INDEX(starting3players,AT155,AU155)</f>
        <v>0.21229999999999999</v>
      </c>
      <c r="BA155" s="73" cm="1">
        <f t="array" ref="BA155">INDEX(starting4players,AT155,AU155)</f>
        <v>0.1484</v>
      </c>
      <c r="BB155" s="73" cm="1">
        <f t="array" ref="BB155">INDEX(starting5players,AT155,AU155)</f>
        <v>0.1207</v>
      </c>
      <c r="BC155" s="73" cm="1">
        <f t="array" ref="BC155">INDEX(starting6players,AT155,AU155)</f>
        <v>9.69E-2</v>
      </c>
      <c r="BD155" s="73" cm="1">
        <f t="array" ref="BD155">INDEX(starting7players,AT155,AU155)</f>
        <v>8.0799999999999997E-2</v>
      </c>
      <c r="BE155" s="73" cm="1">
        <f t="array" ref="BE155">INDEX(starting8players,AT155,AU155)</f>
        <v>6.7199999999999996E-2</v>
      </c>
      <c r="BF155" s="74" cm="1">
        <f t="array" ref="BF155">INDEX(starting9players,AT155,AU155)</f>
        <v>5.8700000000000002E-2</v>
      </c>
    </row>
    <row r="156" spans="46:58">
      <c r="AT156" s="53">
        <v>12</v>
      </c>
      <c r="AU156" s="54">
        <v>11</v>
      </c>
      <c r="AV156" s="54" t="str" cm="1">
        <f t="array" ref="AV156">SUBSTITUTE(INDEX($A$3:$A$15,AT156),"10","T")</f>
        <v>3</v>
      </c>
      <c r="AW156" s="54" t="str" cm="1">
        <f t="array" ref="AW156">SUBSTITUTE(INDEX($B$2:$N$2,AU156),"10","T")</f>
        <v>4</v>
      </c>
      <c r="AX156" s="92" t="str">
        <f t="shared" si="3"/>
        <v>43o</v>
      </c>
      <c r="AY156" s="67" cm="1">
        <f t="array" ref="AY156">INDEX(starting2players,AT156,AU156)</f>
        <v>0.33329999999999999</v>
      </c>
      <c r="AZ156" s="68" cm="1">
        <f t="array" ref="AZ156">INDEX(starting3players,AT156,AU156)</f>
        <v>0.20050000000000001</v>
      </c>
      <c r="BA156" s="68" cm="1">
        <f t="array" ref="BA156">INDEX(starting4players,AT156,AU156)</f>
        <v>0.13469999999999999</v>
      </c>
      <c r="BB156" s="68" cm="1">
        <f t="array" ref="BB156">INDEX(starting5players,AT156,AU156)</f>
        <v>0.10920000000000001</v>
      </c>
      <c r="BC156" s="68" cm="1">
        <f t="array" ref="BC156">INDEX(starting6players,AT156,AU156)</f>
        <v>9.1300000000000006E-2</v>
      </c>
      <c r="BD156" s="68" cm="1">
        <f t="array" ref="BD156">INDEX(starting7players,AT156,AU156)</f>
        <v>6.5299999999999997E-2</v>
      </c>
      <c r="BE156" s="68" cm="1">
        <f t="array" ref="BE156">INDEX(starting8players,AT156,AU156)</f>
        <v>6.5699999999999995E-2</v>
      </c>
      <c r="BF156" s="69" cm="1">
        <f t="array" ref="BF156">INDEX(starting9players,AT156,AU156)</f>
        <v>5.6899999999999999E-2</v>
      </c>
    </row>
    <row r="157" spans="46:58">
      <c r="AT157" s="70">
        <v>12</v>
      </c>
      <c r="AU157" s="71">
        <v>12</v>
      </c>
      <c r="AV157" s="71" t="str" cm="1">
        <f t="array" ref="AV157">SUBSTITUTE(INDEX($A$3:$A$15,AT157),"10","T")</f>
        <v>3</v>
      </c>
      <c r="AW157" s="71" t="str" cm="1">
        <f t="array" ref="AW157">SUBSTITUTE(INDEX($B$2:$N$2,AU157),"10","T")</f>
        <v>3</v>
      </c>
      <c r="AX157" s="91" t="str">
        <f t="shared" si="3"/>
        <v>33</v>
      </c>
      <c r="AY157" s="72" cm="1">
        <f t="array" ref="AY157">INDEX(starting2players,AT157,AU157)</f>
        <v>0.61939999999999995</v>
      </c>
      <c r="AZ157" s="73" cm="1">
        <f t="array" ref="AZ157">INDEX(starting3players,AT157,AU157)</f>
        <v>0.4244</v>
      </c>
      <c r="BA157" s="73" cm="1">
        <f t="array" ref="BA157">INDEX(starting4players,AT157,AU157)</f>
        <v>0.33629999999999999</v>
      </c>
      <c r="BB157" s="73" cm="1">
        <f t="array" ref="BB157">INDEX(starting5players,AT157,AU157)</f>
        <v>0.28660000000000002</v>
      </c>
      <c r="BC157" s="73" cm="1">
        <f t="array" ref="BC157">INDEX(starting6players,AT157,AU157)</f>
        <v>0.25390000000000001</v>
      </c>
      <c r="BD157" s="73" cm="1">
        <f t="array" ref="BD157">INDEX(starting7players,AT157,AU157)</f>
        <v>0.2281</v>
      </c>
      <c r="BE157" s="73" cm="1">
        <f t="array" ref="BE157">INDEX(starting8players,AT157,AU157)</f>
        <v>0.22140000000000001</v>
      </c>
      <c r="BF157" s="74" cm="1">
        <f t="array" ref="BF157">INDEX(starting9players,AT157,AU157)</f>
        <v>0.12820000000000001</v>
      </c>
    </row>
    <row r="158" spans="46:58">
      <c r="AT158" s="53">
        <v>12</v>
      </c>
      <c r="AU158" s="54">
        <v>13</v>
      </c>
      <c r="AV158" s="54" t="str" cm="1">
        <f t="array" ref="AV158">SUBSTITUTE(INDEX($A$3:$A$15,AT158),"10","T")</f>
        <v>3</v>
      </c>
      <c r="AW158" s="54" t="str" cm="1">
        <f t="array" ref="AW158">SUBSTITUTE(INDEX($B$2:$N$2,AU158),"10","T")</f>
        <v>2</v>
      </c>
      <c r="AX158" s="92" t="str">
        <f t="shared" si="3"/>
        <v>32s</v>
      </c>
      <c r="AY158" s="67" cm="1">
        <f t="array" ref="AY158">INDEX(starting2players,AT158,AU158)</f>
        <v>0.3407</v>
      </c>
      <c r="AZ158" s="68" cm="1">
        <f t="array" ref="AZ158">INDEX(starting3players,AT158,AU158)</f>
        <v>0.20200000000000001</v>
      </c>
      <c r="BA158" s="68" cm="1">
        <f t="array" ref="BA158">INDEX(starting4players,AT158,AU158)</f>
        <v>0.16189999999999999</v>
      </c>
      <c r="BB158" s="68" cm="1">
        <f t="array" ref="BB158">INDEX(starting5players,AT158,AU158)</f>
        <v>0.126</v>
      </c>
      <c r="BC158" s="68" cm="1">
        <f t="array" ref="BC158">INDEX(starting6players,AT158,AU158)</f>
        <v>0.1077</v>
      </c>
      <c r="BD158" s="68" cm="1">
        <f t="array" ref="BD158">INDEX(starting7players,AT158,AU158)</f>
        <v>7.8700000000000006E-2</v>
      </c>
      <c r="BE158" s="68" cm="1">
        <f t="array" ref="BE158">INDEX(starting8players,AT158,AU158)</f>
        <v>8.4500000000000006E-2</v>
      </c>
      <c r="BF158" s="69" cm="1">
        <f t="array" ref="BF158">INDEX(starting9players,AT158,AU158)</f>
        <v>8.5599999999999996E-2</v>
      </c>
    </row>
    <row r="159" spans="46:58">
      <c r="AT159" s="70">
        <v>13</v>
      </c>
      <c r="AU159" s="71">
        <v>1</v>
      </c>
      <c r="AV159" s="71" t="str" cm="1">
        <f t="array" ref="AV159">SUBSTITUTE(INDEX($A$3:$A$15,AT159),"10","T")</f>
        <v>2</v>
      </c>
      <c r="AW159" s="71" t="str" cm="1">
        <f t="array" ref="AW159">SUBSTITUTE(INDEX($B$2:$N$2,AU159),"10","T")</f>
        <v>A</v>
      </c>
      <c r="AX159" s="91" t="str">
        <f t="shared" si="3"/>
        <v>A2o</v>
      </c>
      <c r="AY159" s="72" cm="1">
        <f t="array" ref="AY159">INDEX(starting2players,AT159,AU159)</f>
        <v>0.56720000000000004</v>
      </c>
      <c r="AZ159" s="73" cm="1">
        <f t="array" ref="AZ159">INDEX(starting3players,AT159,AU159)</f>
        <v>0.33040000000000003</v>
      </c>
      <c r="BA159" s="73" cm="1">
        <f t="array" ref="BA159">INDEX(starting4players,AT159,AU159)</f>
        <v>0.23150000000000001</v>
      </c>
      <c r="BB159" s="73" cm="1">
        <f t="array" ref="BB159">INDEX(starting5players,AT159,AU159)</f>
        <v>0.17050000000000001</v>
      </c>
      <c r="BC159" s="73" cm="1">
        <f t="array" ref="BC159">INDEX(starting6players,AT159,AU159)</f>
        <v>0.13950000000000001</v>
      </c>
      <c r="BD159" s="73" cm="1">
        <f t="array" ref="BD159">INDEX(starting7players,AT159,AU159)</f>
        <v>0.10390000000000001</v>
      </c>
      <c r="BE159" s="73" cm="1">
        <f t="array" ref="BE159">INDEX(starting8players,AT159,AU159)</f>
        <v>9.9500000000000005E-2</v>
      </c>
      <c r="BF159" s="74" cm="1">
        <f t="array" ref="BF159">INDEX(starting9players,AT159,AU159)</f>
        <v>8.43E-2</v>
      </c>
    </row>
    <row r="160" spans="46:58">
      <c r="AT160" s="53">
        <v>13</v>
      </c>
      <c r="AU160" s="54">
        <v>2</v>
      </c>
      <c r="AV160" s="54" t="str" cm="1">
        <f t="array" ref="AV160">SUBSTITUTE(INDEX($A$3:$A$15,AT160),"10","T")</f>
        <v>2</v>
      </c>
      <c r="AW160" s="54" t="str" cm="1">
        <f t="array" ref="AW160">SUBSTITUTE(INDEX($B$2:$N$2,AU160),"10","T")</f>
        <v>K</v>
      </c>
      <c r="AX160" s="92" t="str">
        <f t="shared" si="3"/>
        <v>K2o</v>
      </c>
      <c r="AY160" s="67" cm="1">
        <f t="array" ref="AY160">INDEX(starting2players,AT160,AU160)</f>
        <v>0.49869999999999998</v>
      </c>
      <c r="AZ160" s="68" cm="1">
        <f t="array" ref="AZ160">INDEX(starting3players,AT160,AU160)</f>
        <v>0.29449999999999998</v>
      </c>
      <c r="BA160" s="68" cm="1">
        <f t="array" ref="BA160">INDEX(starting4players,AT160,AU160)</f>
        <v>0.19769999999999999</v>
      </c>
      <c r="BB160" s="68" cm="1">
        <f t="array" ref="BB160">INDEX(starting5players,AT160,AU160)</f>
        <v>0.14580000000000001</v>
      </c>
      <c r="BC160" s="68" cm="1">
        <f t="array" ref="BC160">INDEX(starting6players,AT160,AU160)</f>
        <v>0.1108</v>
      </c>
      <c r="BD160" s="68" cm="1">
        <f t="array" ref="BD160">INDEX(starting7players,AT160,AU160)</f>
        <v>9.0999999999999998E-2</v>
      </c>
      <c r="BE160" s="68" cm="1">
        <f t="array" ref="BE160">INDEX(starting8players,AT160,AU160)</f>
        <v>7.9299999999999995E-2</v>
      </c>
      <c r="BF160" s="69" cm="1">
        <f t="array" ref="BF160">INDEX(starting9players,AT160,AU160)</f>
        <v>7.1199999999999999E-2</v>
      </c>
    </row>
    <row r="161" spans="46:58">
      <c r="AT161" s="70">
        <v>13</v>
      </c>
      <c r="AU161" s="71">
        <v>3</v>
      </c>
      <c r="AV161" s="71" t="str" cm="1">
        <f t="array" ref="AV161">SUBSTITUTE(INDEX($A$3:$A$15,AT161),"10","T")</f>
        <v>2</v>
      </c>
      <c r="AW161" s="71" t="str" cm="1">
        <f t="array" ref="AW161">SUBSTITUTE(INDEX($B$2:$N$2,AU161),"10","T")</f>
        <v>Q</v>
      </c>
      <c r="AX161" s="91" t="str">
        <f t="shared" si="3"/>
        <v>Q2o</v>
      </c>
      <c r="AY161" s="72" cm="1">
        <f t="array" ref="AY161">INDEX(starting2players,AT161,AU161)</f>
        <v>0.47920000000000001</v>
      </c>
      <c r="AZ161" s="73" cm="1">
        <f t="array" ref="AZ161">INDEX(starting3players,AT161,AU161)</f>
        <v>0.26050000000000001</v>
      </c>
      <c r="BA161" s="73" cm="1">
        <f t="array" ref="BA161">INDEX(starting4players,AT161,AU161)</f>
        <v>0.17810000000000001</v>
      </c>
      <c r="BB161" s="73" cm="1">
        <f t="array" ref="BB161">INDEX(starting5players,AT161,AU161)</f>
        <v>0.1409</v>
      </c>
      <c r="BC161" s="73" cm="1">
        <f t="array" ref="BC161">INDEX(starting6players,AT161,AU161)</f>
        <v>0.1072</v>
      </c>
      <c r="BD161" s="73" cm="1">
        <f t="array" ref="BD161">INDEX(starting7players,AT161,AU161)</f>
        <v>8.0199999999999994E-2</v>
      </c>
      <c r="BE161" s="73" cm="1">
        <f t="array" ref="BE161">INDEX(starting8players,AT161,AU161)</f>
        <v>7.4399999999999994E-2</v>
      </c>
      <c r="BF161" s="74" cm="1">
        <f t="array" ref="BF161">INDEX(starting9players,AT161,AU161)</f>
        <v>6.2899999999999998E-2</v>
      </c>
    </row>
    <row r="162" spans="46:58">
      <c r="AT162" s="53">
        <v>13</v>
      </c>
      <c r="AU162" s="54">
        <v>4</v>
      </c>
      <c r="AV162" s="54" t="str" cm="1">
        <f t="array" ref="AV162">SUBSTITUTE(INDEX($A$3:$A$15,AT162),"10","T")</f>
        <v>2</v>
      </c>
      <c r="AW162" s="54" t="str" cm="1">
        <f t="array" ref="AW162">SUBSTITUTE(INDEX($B$2:$N$2,AU162),"10","T")</f>
        <v>J</v>
      </c>
      <c r="AX162" s="92" t="str">
        <f t="shared" si="3"/>
        <v>J2o</v>
      </c>
      <c r="AY162" s="67" cm="1">
        <f t="array" ref="AY162">INDEX(starting2players,AT162,AU162)</f>
        <v>0.44080000000000003</v>
      </c>
      <c r="AZ162" s="68" cm="1">
        <f t="array" ref="AZ162">INDEX(starting3players,AT162,AU162)</f>
        <v>0.23269999999999999</v>
      </c>
      <c r="BA162" s="68" cm="1">
        <f t="array" ref="BA162">INDEX(starting4players,AT162,AU162)</f>
        <v>0.16270000000000001</v>
      </c>
      <c r="BB162" s="68" cm="1">
        <f t="array" ref="BB162">INDEX(starting5players,AT162,AU162)</f>
        <v>0.1222</v>
      </c>
      <c r="BC162" s="68" cm="1">
        <f t="array" ref="BC162">INDEX(starting6players,AT162,AU162)</f>
        <v>9.9099999999999994E-2</v>
      </c>
      <c r="BD162" s="68" cm="1">
        <f t="array" ref="BD162">INDEX(starting7players,AT162,AU162)</f>
        <v>6.4399999999999999E-2</v>
      </c>
      <c r="BE162" s="68" cm="1">
        <f t="array" ref="BE162">INDEX(starting8players,AT162,AU162)</f>
        <v>5.3499999999999999E-2</v>
      </c>
      <c r="BF162" s="69" cm="1">
        <f t="array" ref="BF162">INDEX(starting9players,AT162,AU162)</f>
        <v>5.3999999999999999E-2</v>
      </c>
    </row>
    <row r="163" spans="46:58">
      <c r="AT163" s="70">
        <v>13</v>
      </c>
      <c r="AU163" s="71">
        <v>5</v>
      </c>
      <c r="AV163" s="71" t="str" cm="1">
        <f t="array" ref="AV163">SUBSTITUTE(INDEX($A$3:$A$15,AT163),"10","T")</f>
        <v>2</v>
      </c>
      <c r="AW163" s="71" t="str" cm="1">
        <f t="array" ref="AW163">SUBSTITUTE(INDEX($B$2:$N$2,AU163),"10","T")</f>
        <v>T</v>
      </c>
      <c r="AX163" s="91" t="str">
        <f t="shared" si="3"/>
        <v>T2o</v>
      </c>
      <c r="AY163" s="72" cm="1">
        <f t="array" ref="AY163">INDEX(starting2players,AT163,AU163)</f>
        <v>0.4143</v>
      </c>
      <c r="AZ163" s="73" cm="1">
        <f t="array" ref="AZ163">INDEX(starting3players,AT163,AU163)</f>
        <v>0.22819999999999999</v>
      </c>
      <c r="BA163" s="73" cm="1">
        <f t="array" ref="BA163">INDEX(starting4players,AT163,AU163)</f>
        <v>0.15540000000000001</v>
      </c>
      <c r="BB163" s="73" cm="1">
        <f t="array" ref="BB163">INDEX(starting5players,AT163,AU163)</f>
        <v>0.1086</v>
      </c>
      <c r="BC163" s="73" cm="1">
        <f t="array" ref="BC163">INDEX(starting6players,AT163,AU163)</f>
        <v>8.7599999999999997E-2</v>
      </c>
      <c r="BD163" s="73" cm="1">
        <f t="array" ref="BD163">INDEX(starting7players,AT163,AU163)</f>
        <v>6.0699999999999997E-2</v>
      </c>
      <c r="BE163" s="73" cm="1">
        <f t="array" ref="BE163">INDEX(starting8players,AT163,AU163)</f>
        <v>5.6000000000000001E-2</v>
      </c>
      <c r="BF163" s="74" cm="1">
        <f t="array" ref="BF163">INDEX(starting9players,AT163,AU163)</f>
        <v>5.1700000000000003E-2</v>
      </c>
    </row>
    <row r="164" spans="46:58">
      <c r="AT164" s="53">
        <v>13</v>
      </c>
      <c r="AU164" s="54">
        <v>6</v>
      </c>
      <c r="AV164" s="54" t="str" cm="1">
        <f t="array" ref="AV164">SUBSTITUTE(INDEX($A$3:$A$15,AT164),"10","T")</f>
        <v>2</v>
      </c>
      <c r="AW164" s="54" t="str" cm="1">
        <f t="array" ref="AW164">SUBSTITUTE(INDEX($B$2:$N$2,AU164),"10","T")</f>
        <v>9</v>
      </c>
      <c r="AX164" s="92" t="str">
        <f t="shared" si="3"/>
        <v>92o</v>
      </c>
      <c r="AY164" s="67" cm="1">
        <f t="array" ref="AY164">INDEX(starting2players,AT164,AU164)</f>
        <v>0.38729999999999998</v>
      </c>
      <c r="AZ164" s="68" cm="1">
        <f t="array" ref="AZ164">INDEX(starting3players,AT164,AU164)</f>
        <v>0.20419999999999999</v>
      </c>
      <c r="BA164" s="68" cm="1">
        <f t="array" ref="BA164">INDEX(starting4players,AT164,AU164)</f>
        <v>0.14050000000000001</v>
      </c>
      <c r="BB164" s="68" cm="1">
        <f t="array" ref="BB164">INDEX(starting5players,AT164,AU164)</f>
        <v>0.1007</v>
      </c>
      <c r="BC164" s="68" cm="1">
        <f t="array" ref="BC164">INDEX(starting6players,AT164,AU164)</f>
        <v>8.5999999999999993E-2</v>
      </c>
      <c r="BD164" s="68" cm="1">
        <f t="array" ref="BD164">INDEX(starting7players,AT164,AU164)</f>
        <v>5.5899999999999998E-2</v>
      </c>
      <c r="BE164" s="68" cm="1">
        <f t="array" ref="BE164">INDEX(starting8players,AT164,AU164)</f>
        <v>4.36E-2</v>
      </c>
      <c r="BF164" s="69" cm="1">
        <f t="array" ref="BF164">INDEX(starting9players,AT164,AU164)</f>
        <v>4.2599999999999999E-2</v>
      </c>
    </row>
    <row r="165" spans="46:58">
      <c r="AT165" s="70">
        <v>13</v>
      </c>
      <c r="AU165" s="71">
        <v>7</v>
      </c>
      <c r="AV165" s="71" t="str" cm="1">
        <f t="array" ref="AV165">SUBSTITUTE(INDEX($A$3:$A$15,AT165),"10","T")</f>
        <v>2</v>
      </c>
      <c r="AW165" s="71" t="str" cm="1">
        <f t="array" ref="AW165">SUBSTITUTE(INDEX($B$2:$N$2,AU165),"10","T")</f>
        <v>8</v>
      </c>
      <c r="AX165" s="91" t="str">
        <f t="shared" si="3"/>
        <v>82o</v>
      </c>
      <c r="AY165" s="72" cm="1">
        <f t="array" ref="AY165">INDEX(starting2players,AT165,AU165)</f>
        <v>0.3488</v>
      </c>
      <c r="AZ165" s="73" cm="1">
        <f t="array" ref="AZ165">INDEX(starting3players,AT165,AU165)</f>
        <v>0.1953</v>
      </c>
      <c r="BA165" s="73" cm="1">
        <f t="array" ref="BA165">INDEX(starting4players,AT165,AU165)</f>
        <v>0.13700000000000001</v>
      </c>
      <c r="BB165" s="73" cm="1">
        <f t="array" ref="BB165">INDEX(starting5players,AT165,AU165)</f>
        <v>9.4799999999999995E-2</v>
      </c>
      <c r="BC165" s="73" cm="1">
        <f t="array" ref="BC165">INDEX(starting6players,AT165,AU165)</f>
        <v>7.8700000000000006E-2</v>
      </c>
      <c r="BD165" s="73" cm="1">
        <f t="array" ref="BD165">INDEX(starting7players,AT165,AU165)</f>
        <v>5.16E-2</v>
      </c>
      <c r="BE165" s="73" cm="1">
        <f t="array" ref="BE165">INDEX(starting8players,AT165,AU165)</f>
        <v>4.7199999999999999E-2</v>
      </c>
      <c r="BF165" s="74" cm="1">
        <f t="array" ref="BF165">INDEX(starting9players,AT165,AU165)</f>
        <v>3.5900000000000001E-2</v>
      </c>
    </row>
    <row r="166" spans="46:58">
      <c r="AT166" s="53">
        <v>13</v>
      </c>
      <c r="AU166" s="54">
        <v>8</v>
      </c>
      <c r="AV166" s="54" t="str" cm="1">
        <f t="array" ref="AV166">SUBSTITUTE(INDEX($A$3:$A$15,AT166),"10","T")</f>
        <v>2</v>
      </c>
      <c r="AW166" s="54" t="str" cm="1">
        <f t="array" ref="AW166">SUBSTITUTE(INDEX($B$2:$N$2,AU166),"10","T")</f>
        <v>7</v>
      </c>
      <c r="AX166" s="92" t="str">
        <f t="shared" si="3"/>
        <v>72o</v>
      </c>
      <c r="AY166" s="67" cm="1">
        <f t="array" ref="AY166">INDEX(starting2players,AT166,AU166)</f>
        <v>0.3327</v>
      </c>
      <c r="AZ166" s="68" cm="1">
        <f t="array" ref="AZ166">INDEX(starting3players,AT166,AU166)</f>
        <v>0.17829999999999999</v>
      </c>
      <c r="BA166" s="68" cm="1">
        <f t="array" ref="BA166">INDEX(starting4players,AT166,AU166)</f>
        <v>0.1171</v>
      </c>
      <c r="BB166" s="68" cm="1">
        <f t="array" ref="BB166">INDEX(starting5players,AT166,AU166)</f>
        <v>8.5000000000000006E-2</v>
      </c>
      <c r="BC166" s="68" cm="1">
        <f t="array" ref="BC166">INDEX(starting6players,AT166,AU166)</f>
        <v>7.0999999999999994E-2</v>
      </c>
      <c r="BD166" s="68" cm="1">
        <f t="array" ref="BD166">INDEX(starting7players,AT166,AU166)</f>
        <v>4.7699999999999999E-2</v>
      </c>
      <c r="BE166" s="68" cm="1">
        <f t="array" ref="BE166">INDEX(starting8players,AT166,AU166)</f>
        <v>4.1599999999999998E-2</v>
      </c>
      <c r="BF166" s="69" cm="1">
        <f t="array" ref="BF166">INDEX(starting9players,AT166,AU166)</f>
        <v>3.5299999999999998E-2</v>
      </c>
    </row>
    <row r="167" spans="46:58">
      <c r="AT167" s="70">
        <v>13</v>
      </c>
      <c r="AU167" s="71">
        <v>9</v>
      </c>
      <c r="AV167" s="71" t="str" cm="1">
        <f t="array" ref="AV167">SUBSTITUTE(INDEX($A$3:$A$15,AT167),"10","T")</f>
        <v>2</v>
      </c>
      <c r="AW167" s="71" t="str" cm="1">
        <f t="array" ref="AW167">SUBSTITUTE(INDEX($B$2:$N$2,AU167),"10","T")</f>
        <v>6</v>
      </c>
      <c r="AX167" s="91" t="str">
        <f t="shared" si="3"/>
        <v>62o</v>
      </c>
      <c r="AY167" s="72" cm="1">
        <f t="array" ref="AY167">INDEX(starting2players,AT167,AU167)</f>
        <v>0.33090000000000003</v>
      </c>
      <c r="AZ167" s="73" cm="1">
        <f t="array" ref="AZ167">INDEX(starting3players,AT167,AU167)</f>
        <v>0.1822</v>
      </c>
      <c r="BA167" s="73" cm="1">
        <f t="array" ref="BA167">INDEX(starting4players,AT167,AU167)</f>
        <v>0.12130000000000001</v>
      </c>
      <c r="BB167" s="73" cm="1">
        <f t="array" ref="BB167">INDEX(starting5players,AT167,AU167)</f>
        <v>9.35E-2</v>
      </c>
      <c r="BC167" s="73" cm="1">
        <f t="array" ref="BC167">INDEX(starting6players,AT167,AU167)</f>
        <v>7.1999999999999995E-2</v>
      </c>
      <c r="BD167" s="73" cm="1">
        <f t="array" ref="BD167">INDEX(starting7players,AT167,AU167)</f>
        <v>6.0199999999999997E-2</v>
      </c>
      <c r="BE167" s="73" cm="1">
        <f t="array" ref="BE167">INDEX(starting8players,AT167,AU167)</f>
        <v>4.36E-2</v>
      </c>
      <c r="BF167" s="74" cm="1">
        <f t="array" ref="BF167">INDEX(starting9players,AT167,AU167)</f>
        <v>4.3400000000000001E-2</v>
      </c>
    </row>
    <row r="168" spans="46:58">
      <c r="AT168" s="53">
        <v>13</v>
      </c>
      <c r="AU168" s="54">
        <v>10</v>
      </c>
      <c r="AV168" s="54" t="str" cm="1">
        <f t="array" ref="AV168">SUBSTITUTE(INDEX($A$3:$A$15,AT168),"10","T")</f>
        <v>2</v>
      </c>
      <c r="AW168" s="54" t="str" cm="1">
        <f t="array" ref="AW168">SUBSTITUTE(INDEX($B$2:$N$2,AU168),"10","T")</f>
        <v>5</v>
      </c>
      <c r="AX168" s="92" t="str">
        <f t="shared" si="3"/>
        <v>52o</v>
      </c>
      <c r="AY168" s="67" cm="1">
        <f t="array" ref="AY168">INDEX(starting2players,AT168,AU168)</f>
        <v>0.32100000000000001</v>
      </c>
      <c r="AZ168" s="68" cm="1">
        <f t="array" ref="AZ168">INDEX(starting3players,AT168,AU168)</f>
        <v>0.19159999999999999</v>
      </c>
      <c r="BA168" s="68" cm="1">
        <f t="array" ref="BA168">INDEX(starting4players,AT168,AU168)</f>
        <v>0.13300000000000001</v>
      </c>
      <c r="BB168" s="68" cm="1">
        <f t="array" ref="BB168">INDEX(starting5players,AT168,AU168)</f>
        <v>0.11070000000000001</v>
      </c>
      <c r="BC168" s="68" cm="1">
        <f t="array" ref="BC168">INDEX(starting6players,AT168,AU168)</f>
        <v>8.3699999999999997E-2</v>
      </c>
      <c r="BD168" s="68" cm="1">
        <f t="array" ref="BD168">INDEX(starting7players,AT168,AU168)</f>
        <v>6.9599999999999995E-2</v>
      </c>
      <c r="BE168" s="68" cm="1">
        <f t="array" ref="BE168">INDEX(starting8players,AT168,AU168)</f>
        <v>5.7200000000000001E-2</v>
      </c>
      <c r="BF168" s="69" cm="1">
        <f t="array" ref="BF168">INDEX(starting9players,AT168,AU168)</f>
        <v>5.57E-2</v>
      </c>
    </row>
    <row r="169" spans="46:58">
      <c r="AT169" s="70">
        <v>13</v>
      </c>
      <c r="AU169" s="71">
        <v>11</v>
      </c>
      <c r="AV169" s="71" t="str" cm="1">
        <f t="array" ref="AV169">SUBSTITUTE(INDEX($A$3:$A$15,AT169),"10","T")</f>
        <v>2</v>
      </c>
      <c r="AW169" s="71" t="str" cm="1">
        <f t="array" ref="AW169">SUBSTITUTE(INDEX($B$2:$N$2,AU169),"10","T")</f>
        <v>4</v>
      </c>
      <c r="AX169" s="91" t="str">
        <f t="shared" si="3"/>
        <v>42o</v>
      </c>
      <c r="AY169" s="72" cm="1">
        <f t="array" ref="AY169">INDEX(starting2players,AT169,AU169)</f>
        <v>0.31419999999999998</v>
      </c>
      <c r="AZ169" s="73" cm="1">
        <f t="array" ref="AZ169">INDEX(starting3players,AT169,AU169)</f>
        <v>0.18290000000000001</v>
      </c>
      <c r="BA169" s="73" cm="1">
        <f t="array" ref="BA169">INDEX(starting4players,AT169,AU169)</f>
        <v>0.12790000000000001</v>
      </c>
      <c r="BB169" s="73" cm="1">
        <f t="array" ref="BB169">INDEX(starting5players,AT169,AU169)</f>
        <v>9.9900000000000003E-2</v>
      </c>
      <c r="BC169" s="73" cm="1">
        <f t="array" ref="BC169">INDEX(starting6players,AT169,AU169)</f>
        <v>8.4000000000000005E-2</v>
      </c>
      <c r="BD169" s="73" cm="1">
        <f t="array" ref="BD169">INDEX(starting7players,AT169,AU169)</f>
        <v>6.93E-2</v>
      </c>
      <c r="BE169" s="73" cm="1">
        <f t="array" ref="BE169">INDEX(starting8players,AT169,AU169)</f>
        <v>5.6500000000000002E-2</v>
      </c>
      <c r="BF169" s="74" cm="1">
        <f t="array" ref="BF169">INDEX(starting9players,AT169,AU169)</f>
        <v>5.2600000000000001E-2</v>
      </c>
    </row>
    <row r="170" spans="46:58">
      <c r="AT170" s="53">
        <v>13</v>
      </c>
      <c r="AU170" s="54">
        <v>12</v>
      </c>
      <c r="AV170" s="54" t="str" cm="1">
        <f t="array" ref="AV170">SUBSTITUTE(INDEX($A$3:$A$15,AT170),"10","T")</f>
        <v>2</v>
      </c>
      <c r="AW170" s="54" t="str" cm="1">
        <f t="array" ref="AW170">SUBSTITUTE(INDEX($B$2:$N$2,AU170),"10","T")</f>
        <v>3</v>
      </c>
      <c r="AX170" s="92" t="str">
        <f t="shared" si="3"/>
        <v>32o</v>
      </c>
      <c r="AY170" s="67" cm="1">
        <f t="array" ref="AY170">INDEX(starting2players,AT170,AU170)</f>
        <v>0.31259999999999999</v>
      </c>
      <c r="AZ170" s="68" cm="1">
        <f t="array" ref="AZ170">INDEX(starting3players,AT170,AU170)</f>
        <v>0.17560000000000001</v>
      </c>
      <c r="BA170" s="68" cm="1">
        <f t="array" ref="BA170">INDEX(starting4players,AT170,AU170)</f>
        <v>0.1278</v>
      </c>
      <c r="BB170" s="68" cm="1">
        <f t="array" ref="BB170">INDEX(starting5players,AT170,AU170)</f>
        <v>0.09</v>
      </c>
      <c r="BC170" s="68" cm="1">
        <f t="array" ref="BC170">INDEX(starting6players,AT170,AU170)</f>
        <v>7.3700000000000002E-2</v>
      </c>
      <c r="BD170" s="68" cm="1">
        <f t="array" ref="BD170">INDEX(starting7players,AT170,AU170)</f>
        <v>6.0900000000000003E-2</v>
      </c>
      <c r="BE170" s="68" cm="1">
        <f t="array" ref="BE170">INDEX(starting8players,AT170,AU170)</f>
        <v>4.7899999999999998E-2</v>
      </c>
      <c r="BF170" s="69" cm="1">
        <f t="array" ref="BF170">INDEX(starting9players,AT170,AU170)</f>
        <v>4.9700000000000001E-2</v>
      </c>
    </row>
    <row r="171" spans="46:58">
      <c r="AT171" s="75">
        <v>13</v>
      </c>
      <c r="AU171" s="76">
        <v>13</v>
      </c>
      <c r="AV171" s="76" t="str" cm="1">
        <f t="array" ref="AV171">SUBSTITUTE(INDEX($A$3:$A$15,AT171),"10","T")</f>
        <v>2</v>
      </c>
      <c r="AW171" s="76" t="str" cm="1">
        <f t="array" ref="AW171">SUBSTITUTE(INDEX($B$2:$N$2,AU171),"10","T")</f>
        <v>2</v>
      </c>
      <c r="AX171" s="93" t="str">
        <f t="shared" si="3"/>
        <v>22</v>
      </c>
      <c r="AY171" s="77" cm="1">
        <f t="array" ref="AY171">INDEX(starting2players,AT171,AU171)</f>
        <v>0.59770000000000001</v>
      </c>
      <c r="AZ171" s="78" cm="1">
        <f t="array" ref="AZ171">INDEX(starting3players,AT171,AU171)</f>
        <v>0.40660000000000002</v>
      </c>
      <c r="BA171" s="78" cm="1">
        <f t="array" ref="BA171">INDEX(starting4players,AT171,AU171)</f>
        <v>0.31559999999999999</v>
      </c>
      <c r="BB171" s="78" cm="1">
        <f t="array" ref="BB171">INDEX(starting5players,AT171,AU171)</f>
        <v>0.2792</v>
      </c>
      <c r="BC171" s="78" cm="1">
        <f t="array" ref="BC171">INDEX(starting6players,AT171,AU171)</f>
        <v>0.254</v>
      </c>
      <c r="BD171" s="78" cm="1">
        <f t="array" ref="BD171">INDEX(starting7players,AT171,AU171)</f>
        <v>0.24179999999999999</v>
      </c>
      <c r="BE171" s="78" cm="1">
        <f t="array" ref="BE171">INDEX(starting8players,AT171,AU171)</f>
        <v>0.22270000000000001</v>
      </c>
      <c r="BF171" s="79" cm="1">
        <f t="array" ref="BF171">INDEX(starting9players,AT171,AU171)</f>
        <v>0.1208</v>
      </c>
    </row>
  </sheetData>
  <mergeCells count="9">
    <mergeCell ref="AE33:AR33"/>
    <mergeCell ref="P33:AC33"/>
    <mergeCell ref="A33:N33"/>
    <mergeCell ref="A1:N1"/>
    <mergeCell ref="P1:AC1"/>
    <mergeCell ref="AE1:AR1"/>
    <mergeCell ref="A17:N17"/>
    <mergeCell ref="AE17:AR17"/>
    <mergeCell ref="P17:AC1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65ADD-35CC-4DB6-84C4-A8EB1A17D41F}">
  <sheetPr codeName="Sheet2"/>
  <dimension ref="A1"/>
  <sheetViews>
    <sheetView showGridLines="0" workbookViewId="0">
      <selection activeCell="A3" sqref="A3"/>
    </sheetView>
  </sheetViews>
  <sheetFormatPr defaultRowHeight="15.75"/>
  <sheetData>
    <row r="1" spans="1:1">
      <c r="A1" s="123" t="s">
        <v>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Table</vt:lpstr>
      <vt:lpstr>Aux</vt:lpstr>
      <vt:lpstr>StartingHands</vt:lpstr>
      <vt:lpstr>ToDo</vt:lpstr>
      <vt:lpstr>CurrentlyEditing</vt:lpstr>
      <vt:lpstr>handIDs</vt:lpstr>
      <vt:lpstr>LastEditedMyCards</vt:lpstr>
      <vt:lpstr>LastEditedPot</vt:lpstr>
      <vt:lpstr>MyCards</vt:lpstr>
      <vt:lpstr>NumberOfPlayers</vt:lpstr>
      <vt:lpstr>NumberOfSimulations</vt:lpstr>
      <vt:lpstr>Pot</vt:lpstr>
      <vt:lpstr>potIDs</vt:lpstr>
      <vt:lpstr>starting2players</vt:lpstr>
      <vt:lpstr>starting3players</vt:lpstr>
      <vt:lpstr>starting4players</vt:lpstr>
      <vt:lpstr>starting5players</vt:lpstr>
      <vt:lpstr>starting6players</vt:lpstr>
      <vt:lpstr>starting7players</vt:lpstr>
      <vt:lpstr>starting8players</vt:lpstr>
      <vt:lpstr>starting9players</vt:lpstr>
      <vt:lpstr>StartingHands</vt:lpstr>
      <vt:lpstr>WinLoseTie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Danilo Vilardi</dc:creator>
  <cp:lastModifiedBy>Danilo Vilardi</cp:lastModifiedBy>
  <dcterms:created xsi:type="dcterms:W3CDTF">2020-03-04T00:56:25Z</dcterms:created>
  <dcterms:modified xsi:type="dcterms:W3CDTF">2020-03-29T19:06:50Z</dcterms:modified>
</cp:coreProperties>
</file>